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0" documentId="13_ncr:1_{B5393D62-47D3-43FB-9A38-4D10A25F04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rics" sheetId="2" r:id="rId1"/>
    <sheet name="Match Pairs" sheetId="8" r:id="rId2"/>
    <sheet name="Comparison by fields" sheetId="15" r:id="rId3"/>
    <sheet name="Service" sheetId="14" r:id="rId4"/>
  </sheets>
  <definedNames>
    <definedName name="_xlnm._FilterDatabase" localSheetId="2" hidden="1">'Comparison by fields'!$A$18:$C$30</definedName>
    <definedName name="ExternalData_1" localSheetId="1" hidden="1">'Match Pairs'!$B$1:$AJ$29764</definedName>
    <definedName name="FilePath">Service!$A$2</definedName>
    <definedName name="MatchOutcome">Service!$B$2</definedName>
    <definedName name="PairIndex">Service!$D$2</definedName>
    <definedName name="Record1List">Service!$F$2</definedName>
    <definedName name="Record2List">Service!$G$2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4" l="1" a="1"/>
  <c r="B2" i="14" s="1"/>
  <c r="A21" i="15" a="1"/>
  <c r="A21" i="15" s="1"/>
  <c r="A2" i="14" a="1"/>
  <c r="A2" i="14" s="1"/>
  <c r="D4" i="2" a="1"/>
  <c r="D4" i="2" s="1"/>
  <c r="G2" i="14" l="1" a="1"/>
  <c r="G2" i="14" s="1"/>
  <c r="F2" i="14" a="1"/>
  <c r="F2" i="14" s="1"/>
  <c r="D2" i="14" a="1"/>
  <c r="D2" i="14" l="1"/>
  <c r="B4" i="15" s="1" a="1"/>
  <c r="B4" i="15" s="1"/>
  <c r="B16" i="15" l="1" a="1"/>
  <c r="B16" i="15" s="1"/>
  <c r="C20" i="15" a="1"/>
  <c r="C20" i="15" s="1"/>
  <c r="B11" i="15" a="1"/>
  <c r="B11" i="15" s="1"/>
  <c r="B7" i="15" a="1"/>
  <c r="B7" i="15" s="1"/>
  <c r="B21" i="15" a="1"/>
  <c r="B21" i="15" s="1"/>
  <c r="B9" i="15" a="1"/>
  <c r="B9" i="15" s="1"/>
  <c r="B12" i="15" a="1"/>
  <c r="B12" i="15" s="1"/>
  <c r="C19" i="15" a="1"/>
  <c r="C19" i="15" s="1"/>
  <c r="B15" i="15" a="1"/>
  <c r="B15" i="15" s="1"/>
  <c r="B8" i="15" a="1"/>
  <c r="B8" i="15" s="1"/>
  <c r="B14" i="15" a="1"/>
  <c r="B14" i="15" s="1"/>
  <c r="B6" i="15" a="1"/>
  <c r="B6" i="15" s="1"/>
  <c r="B13" i="15" a="1"/>
  <c r="B13" i="15" s="1"/>
  <c r="B20" i="15" a="1"/>
  <c r="B20" i="15" s="1"/>
  <c r="B19" i="15" a="1"/>
  <c r="B19" i="15" s="1"/>
  <c r="C21" i="15" a="1"/>
  <c r="C21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ED0C19-3D69-450B-9B36-F9300D0FA6C0}" keepAlive="1" name="Query - match_pairs" description="Connection to the 'match_pairs' query in the workbook." type="5" refreshedVersion="8" background="1" saveData="1">
    <dbPr connection="Provider=Microsoft.Mashup.OleDb.1;Data Source=$Workbook$;Location=match_pairs;Extended Properties=&quot;&quot;" command="SELECT * FROM [match_pairs]"/>
  </connection>
  <connection id="2" xr16:uid="{146AC24F-8D63-4943-956C-DE69A46A2ABD}" keepAlive="1" name="Query - match_pairs(1)" description="Connection to the 'match_pairs' query in the workbook." type="5" refreshedVersion="0" background="1">
    <dbPr connection="Provider=Microsoft.Mashup.OleDb.1;Data Source=$Workbook$;Location=match_pairs;Extended Properties=&quot;&quot;" command="SELECT * FROM [match_pair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<sst xmlns="http://schemas.openxmlformats.org/spreadsheetml/2006/main" count="75" uniqueCount="71">
  <si>
    <t>%</t>
  </si>
  <si>
    <t>Rule</t>
  </si>
  <si>
    <t>Fuzzy</t>
  </si>
  <si>
    <t>Exact</t>
  </si>
  <si>
    <t>Match Strategy</t>
  </si>
  <si>
    <t>Match Rules</t>
  </si>
  <si>
    <t>Record ID</t>
  </si>
  <si>
    <t>Record Source</t>
  </si>
  <si>
    <t>Matched Record ID</t>
  </si>
  <si>
    <t>Matched Record Source</t>
  </si>
  <si>
    <t>Match Score</t>
  </si>
  <si>
    <t>Match Outcome</t>
  </si>
  <si>
    <t>Matched By</t>
  </si>
  <si>
    <t>Match Model Id</t>
  </si>
  <si>
    <t>Match Model Name</t>
  </si>
  <si>
    <t>Match Model Version</t>
  </si>
  <si>
    <t>Match Rule</t>
  </si>
  <si>
    <t>Population</t>
  </si>
  <si>
    <t>Description</t>
  </si>
  <si>
    <t>Match Criterion</t>
  </si>
  <si>
    <t>Record Address.addressLine1</t>
  </si>
  <si>
    <t>Matched Record Address.addressLine1</t>
  </si>
  <si>
    <t>Record Address.city</t>
  </si>
  <si>
    <t>Matched Record Address.city</t>
  </si>
  <si>
    <t>Record Address.country</t>
  </si>
  <si>
    <t>Matched Record Address.country</t>
  </si>
  <si>
    <t>Record Address.countrySubdivision</t>
  </si>
  <si>
    <t>Matched Record Address.countrySubdivision</t>
  </si>
  <si>
    <t>Record Address.postalCode</t>
  </si>
  <si>
    <t>Matched Record Address.postalCode</t>
  </si>
  <si>
    <t>Record AlternateName.alternateName</t>
  </si>
  <si>
    <t>Matched Record AlternateName.alternateName</t>
  </si>
  <si>
    <t>Record FamilyTreeRole.role</t>
  </si>
  <si>
    <t>Matched Record FamilyTreeRole.role</t>
  </si>
  <si>
    <t>Record duns</t>
  </si>
  <si>
    <t>Matched Record duns</t>
  </si>
  <si>
    <t>Record name</t>
  </si>
  <si>
    <t>Matched Record name</t>
  </si>
  <si>
    <t>Record Address.addressLine2</t>
  </si>
  <si>
    <t>Matched Record Address.addressLine2</t>
  </si>
  <si>
    <t>Rule Id</t>
  </si>
  <si>
    <t># Pairs</t>
  </si>
  <si>
    <t>Merge Strategy</t>
  </si>
  <si>
    <t>Index</t>
  </si>
  <si>
    <t>Model:</t>
  </si>
  <si>
    <t>Match Model Id:</t>
  </si>
  <si>
    <t>Match Model Name:</t>
  </si>
  <si>
    <t>Match Model Version:</t>
  </si>
  <si>
    <t>Population:</t>
  </si>
  <si>
    <t>Rule:</t>
  </si>
  <si>
    <t>Match Rule:</t>
  </si>
  <si>
    <t>Description:</t>
  </si>
  <si>
    <t>Match Criterion:</t>
  </si>
  <si>
    <t>Match Score:</t>
  </si>
  <si>
    <t xml:space="preserve">Match Outcome: </t>
  </si>
  <si>
    <t>Matched By:</t>
  </si>
  <si>
    <t xml:space="preserve">RECORD 1 </t>
  </si>
  <si>
    <t>RECORD 2</t>
  </si>
  <si>
    <t>Source:</t>
  </si>
  <si>
    <t>ID:</t>
  </si>
  <si>
    <t>FIELD</t>
  </si>
  <si>
    <t>Filter by Outcome:</t>
  </si>
  <si>
    <t>Dynamic Path</t>
  </si>
  <si>
    <t>MatchOutcome</t>
  </si>
  <si>
    <t>PairIndex</t>
  </si>
  <si>
    <t>IsVisible</t>
  </si>
  <si>
    <t>Record1List</t>
  </si>
  <si>
    <t>Record2List</t>
  </si>
  <si>
    <t>Record ID:</t>
  </si>
  <si>
    <t>Selected Pair Index: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</si>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</sst>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97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F497D"/>
      </left>
      <right style="thin">
        <color theme="0"/>
      </right>
      <top style="thin">
        <color rgb="FF1F497D"/>
      </top>
      <bottom/>
      <diagonal/>
    </border>
    <border>
      <left style="thin">
        <color theme="0"/>
      </left>
      <right style="thin">
        <color theme="0"/>
      </right>
      <top style="thin">
        <color rgb="FF1F497D"/>
      </top>
      <bottom/>
      <diagonal/>
    </border>
    <border>
      <left/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/>
      <right style="thin">
        <color theme="0"/>
      </right>
      <top style="thin">
        <color rgb="FF1F497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0" fillId="0" borderId="0" xfId="0" applyAlignment="1">
      <alignment horizontal="centerContinuous"/>
    </xf>
    <xf numFmtId="0" fontId="18" fillId="0" borderId="0" xfId="0" applyFont="1" applyAlignment="1">
      <alignment horizontal="centerContinuous"/>
    </xf>
    <xf numFmtId="0" fontId="13" fillId="33" borderId="10" xfId="0" applyFont="1" applyFill="1" applyBorder="1" applyAlignment="1">
      <alignment horizontal="right" indent="1"/>
    </xf>
    <xf numFmtId="0" fontId="13" fillId="33" borderId="11" xfId="0" applyFont="1" applyFill="1" applyBorder="1" applyAlignment="1">
      <alignment horizontal="center"/>
    </xf>
    <xf numFmtId="0" fontId="13" fillId="33" borderId="12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right" vertical="center"/>
    </xf>
    <xf numFmtId="9" fontId="0" fillId="0" borderId="13" xfId="1" applyFont="1" applyFill="1" applyBorder="1" applyAlignment="1">
      <alignment horizontal="right" vertical="center"/>
    </xf>
    <xf numFmtId="0" fontId="13" fillId="33" borderId="14" xfId="0" applyFont="1" applyFill="1" applyBorder="1" applyAlignment="1">
      <alignment horizontal="right" indent="1"/>
    </xf>
    <xf numFmtId="0" fontId="16" fillId="0" borderId="0" xfId="0" applyFont="1"/>
    <xf numFmtId="0" fontId="16" fillId="0" borderId="15" xfId="0" applyFont="1" applyBorder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right"/>
    </xf>
    <xf numFmtId="0" fontId="19" fillId="0" borderId="0" xfId="0" applyFont="1"/>
    <xf numFmtId="0" fontId="16" fillId="0" borderId="0" xfId="0" applyFont="1" applyAlignment="1">
      <alignment horizontal="right" vertical="top"/>
    </xf>
    <xf numFmtId="1" fontId="0" fillId="0" borderId="0" xfId="0" applyNumberFormat="1"/>
    <xf numFmtId="0" fontId="0" fillId="0" borderId="0" xfId="0" applyAlignment="1">
      <alignment horizontal="left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0">
    <dxf>
      <numFmt numFmtId="0" formatCode="General"/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BDB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CCC"/>
        </patternFill>
      </fill>
    </dxf>
    <dxf>
      <fill>
        <patternFill>
          <bgColor rgb="FFA5002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A50021"/>
        </patternFill>
      </fill>
    </dxf>
    <dxf>
      <fill>
        <patternFill>
          <bgColor rgb="FFFFCCC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BDBD"/>
      <color rgb="FFFF99CC"/>
      <color rgb="FF1F497D"/>
      <color rgb="FFFFCCCC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Pairs by Rules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0"/>
          <c:tx>
            <c:strRef>
              <c:f>Metrics!$H$3</c:f>
              <c:strCache>
                <c:ptCount val="1"/>
                <c:pt idx="0">
                  <c:v># Pairs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638-4F20-AAA5-116BE424D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38-4F20-AAA5-116BE424D6B2}"/>
              </c:ext>
            </c:extLst>
          </c:dPt>
          <c:dLbls>
            <c:dLbl>
              <c:idx val="0"/>
              <c:layout>
                <c:manualLayout>
                  <c:x val="0.10964188238417992"/>
                  <c:y val="4.99542124140624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38-4F20-AAA5-116BE424D6B2}"/>
                </c:ext>
              </c:extLst>
            </c:dLbl>
            <c:dLbl>
              <c:idx val="1"/>
              <c:layout>
                <c:manualLayout>
                  <c:x val="-1.3886608608995269E-2"/>
                  <c:y val="-0.286798940615853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38-4F20-AAA5-116BE424D6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Metrics!$E$4:$E$5</c:f>
              <c:numCache>
                <c:formatCode>General</c:formatCode>
                <c:ptCount val="2"/>
                <c:pt idx="0">
                  <c:v>0</c:v>
                </c:pt>
              </c:numCache>
            </c:numRef>
          </c:cat>
          <c:val>
            <c:numRef>
              <c:f>Metrics!$H$4:$H$5</c:f>
              <c:numCache>
                <c:formatCode>0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38-4F20-AAA5-116BE424D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C$4" max="10000" min="1" page="10" val="19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254052</xdr:colOff>
      <xdr:row>6</xdr:row>
      <xdr:rowOff>115140</xdr:rowOff>
    </xdr:from>
    <xdr:to>
      <xdr:col>8</xdr:col>
      <xdr:colOff>366346</xdr:colOff>
      <xdr:row>36</xdr:row>
      <xdr:rowOff>125604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5E564D-88D0-D240-C289-984CF7B0D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2</xdr:row>
          <xdr:rowOff>106680</xdr:rowOff>
        </xdr:from>
        <xdr:to>
          <xdr:col>2</xdr:col>
          <xdr:colOff>365760</xdr:colOff>
          <xdr:row>4</xdr:row>
          <xdr:rowOff>76200</xdr:rowOff>
        </xdr:to>
        <xdr:sp macro="" textlink="">
          <xdr:nvSpPr>
            <xdr:cNvPr id="4110" name="Spinner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6E10C4-B3A4-419F-A054-1DC34E582BFC}" autoFormatId="16" applyNumberFormats="0" applyBorderFormats="0" applyFontFormats="0" applyPatternFormats="0" applyAlignmentFormats="0" applyWidthHeightFormats="0">
  <queryTableRefresh nextId="40" unboundColumnsLeft="1">
    <queryTableFields count="36">
      <queryTableField id="38" dataBound="0" tableColumnId="36"/>
      <queryTableField id="36" name="Index" tableColumnId="35"/>
      <queryTableField id="1" name="Record ID" tableColumnId="1"/>
      <queryTableField id="2" name="Record Source" tableColumnId="2"/>
      <queryTableField id="3" name="Matched Record ID" tableColumnId="3"/>
      <queryTableField id="4" name="Matched Record Source" tableColumnId="4"/>
      <queryTableField id="5" name="Match Score" tableColumnId="5"/>
      <queryTableField id="6" name="Match Outcome" tableColumnId="6"/>
      <queryTableField id="7" name="Matched By" tableColumnId="7"/>
      <queryTableField id="8" name="Match Model Id" tableColumnId="8"/>
      <queryTableField id="9" name="Match Model Name" tableColumnId="9"/>
      <queryTableField id="10" name="Match Model Version" tableColumnId="10"/>
      <queryTableField id="12" name="Population" tableColumnId="12"/>
      <queryTableField id="11" name="Match Rule" tableColumnId="11"/>
      <queryTableField id="13" name="Description" tableColumnId="13"/>
      <queryTableField id="14" name="Match Criterion" tableColumnId="14"/>
      <queryTableField id="15" name="Record Address.addressLine1" tableColumnId="15"/>
      <queryTableField id="16" name="Matched Record Address.addressLine1" tableColumnId="16"/>
      <queryTableField id="17" name="Record Address.addressLine2" tableColumnId="17"/>
      <queryTableField id="18" name="Matched Record Address.addressLine2" tableColumnId="18"/>
      <queryTableField id="19" name="Record Address.city" tableColumnId="19"/>
      <queryTableField id="20" name="Matched Record Address.city" tableColumnId="20"/>
      <queryTableField id="21" name="Record Address.country" tableColumnId="21"/>
      <queryTableField id="22" name="Matched Record Address.country" tableColumnId="22"/>
      <queryTableField id="23" name="Record Address.countrySubdivision" tableColumnId="23"/>
      <queryTableField id="24" name="Matched Record Address.countrySubdivision" tableColumnId="24"/>
      <queryTableField id="25" name="Record Address.postalCode" tableColumnId="25"/>
      <queryTableField id="26" name="Matched Record Address.postalCode" tableColumnId="26"/>
      <queryTableField id="27" name="Record AlternateName.alternateName" tableColumnId="27"/>
      <queryTableField id="28" name="Matched Record AlternateName.alternateName" tableColumnId="28"/>
      <queryTableField id="29" name="Record FamilyTreeRole.role" tableColumnId="29"/>
      <queryTableField id="30" name="Matched Record FamilyTreeRole.role" tableColumnId="30"/>
      <queryTableField id="31" name="Record duns" tableColumnId="31"/>
      <queryTableField id="32" name="Matched Record duns" tableColumnId="32"/>
      <queryTableField id="33" name="Record name" tableColumnId="33"/>
      <queryTableField id="34" name="Matched Record name" tableColumnId="3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9CF0C-168D-4D09-8629-80B7C9F32931}" name="match_pairs" displayName="match_pairs" ref="A1:AJ29764" tableType="queryTable" totalsRowShown="0">
  <tableColumns count="36">
    <tableColumn id="36" xr3:uid="{D988D014-F082-4993-832E-6171B44BCC22}" uniqueName="36" name="IsVisible" queryTableFieldId="38" dataDxfId="0"/>
    <tableColumn id="35" xr3:uid="{74F72B69-0B6C-4ABA-926D-335FD29FDD34}" uniqueName="35" name="Index" queryTableFieldId="36"/>
    <tableColumn id="1" xr3:uid="{34964FA0-B64A-4BE6-B3BA-FB4FDAFECDE7}" uniqueName="1" name="Record ID" queryTableFieldId="1" dataDxfId="39"/>
    <tableColumn id="2" xr3:uid="{BBC21312-47EC-4011-9968-D5730602510E}" uniqueName="2" name="Record Source" queryTableFieldId="2" dataDxfId="38"/>
    <tableColumn id="3" xr3:uid="{41660F09-185C-43B7-94F0-FB27EF67E45D}" uniqueName="3" name="Matched Record ID" queryTableFieldId="3" dataDxfId="37"/>
    <tableColumn id="4" xr3:uid="{D6CA12ED-A16A-4A73-9FA9-881BDFC155A5}" uniqueName="4" name="Matched Record Source" queryTableFieldId="4" dataDxfId="36"/>
    <tableColumn id="5" xr3:uid="{BDC38E27-2FEB-4A1D-AB4D-F6C2D3465A82}" uniqueName="5" name="Match Score" queryTableFieldId="5"/>
    <tableColumn id="6" xr3:uid="{5D4FC7E1-6B04-4147-BD8C-D5995A833C2A}" uniqueName="6" name="Match Outcome" queryTableFieldId="6" dataDxfId="35"/>
    <tableColumn id="7" xr3:uid="{5DDBF6AF-3422-401E-B497-D290372EFE73}" uniqueName="7" name="Matched By" queryTableFieldId="7" dataDxfId="34"/>
    <tableColumn id="8" xr3:uid="{0954EA0A-99BA-4A85-AF67-AEDA653CCCA8}" uniqueName="8" name="Match Model Id" queryTableFieldId="8" dataDxfId="33"/>
    <tableColumn id="9" xr3:uid="{CEA9EEE3-1E29-4760-BEFF-222390212A05}" uniqueName="9" name="Match Model Name" queryTableFieldId="9" dataDxfId="32"/>
    <tableColumn id="10" xr3:uid="{E030A53F-146B-4CE9-81D3-EC8D41483231}" uniqueName="10" name="Match Model Version" queryTableFieldId="10"/>
    <tableColumn id="12" xr3:uid="{BB9CB924-8B2D-4530-B61B-7826635CE9BA}" uniqueName="12" name="Population" queryTableFieldId="12" dataDxfId="31"/>
    <tableColumn id="11" xr3:uid="{8CCF03C4-CD23-44B6-8ADD-DCB09300A79E}" uniqueName="11" name="Match Rule" queryTableFieldId="11"/>
    <tableColumn id="13" xr3:uid="{1BC48701-6528-49B5-BE4B-CF8CAEE66CF3}" uniqueName="13" name="Description" queryTableFieldId="13" dataDxfId="30"/>
    <tableColumn id="14" xr3:uid="{E0ECE39D-28E5-4B2D-8BFA-5C8F1D1AB9BB}" uniqueName="14" name="Match Criterion" queryTableFieldId="14" dataDxfId="29"/>
    <tableColumn id="15" xr3:uid="{0D27505D-A794-43B7-B087-B6BD88328660}" uniqueName="15" name="Record Address.addressLine1" queryTableFieldId="15" dataDxfId="28"/>
    <tableColumn id="16" xr3:uid="{3D4BB80D-BB3D-4DC0-BBF1-0B8A4B10A03C}" uniqueName="16" name="Matched Record Address.addressLine1" queryTableFieldId="16" dataDxfId="27"/>
    <tableColumn id="17" xr3:uid="{92C6C1B5-C10E-4ACF-90FA-5DCD05281548}" uniqueName="17" name="Record Address.addressLine2" queryTableFieldId="17" dataDxfId="26"/>
    <tableColumn id="18" xr3:uid="{03D1FB65-7777-4FE1-B98A-7D8B4B96E798}" uniqueName="18" name="Matched Record Address.addressLine2" queryTableFieldId="18" dataDxfId="25"/>
    <tableColumn id="19" xr3:uid="{30C5DE1A-8AC1-4BCF-99AA-78A3CD1727CD}" uniqueName="19" name="Record Address.city" queryTableFieldId="19" dataDxfId="24"/>
    <tableColumn id="20" xr3:uid="{30ACB547-36B3-4945-9891-128289C66337}" uniqueName="20" name="Matched Record Address.city" queryTableFieldId="20" dataDxfId="23"/>
    <tableColumn id="21" xr3:uid="{B66A715C-5D68-4006-BE8A-AE533534EF9E}" uniqueName="21" name="Record Address.country" queryTableFieldId="21" dataDxfId="22"/>
    <tableColumn id="22" xr3:uid="{641685EF-F883-472A-924E-FD9031E56BA8}" uniqueName="22" name="Matched Record Address.country" queryTableFieldId="22" dataDxfId="21"/>
    <tableColumn id="23" xr3:uid="{F2F52E04-B4C7-4B68-82C3-F46942FCD857}" uniqueName="23" name="Record Address.countrySubdivision" queryTableFieldId="23" dataDxfId="20"/>
    <tableColumn id="24" xr3:uid="{20982E58-5D21-4524-9A7A-A0366DBC9C98}" uniqueName="24" name="Matched Record Address.countrySubdivision" queryTableFieldId="24" dataDxfId="19"/>
    <tableColumn id="25" xr3:uid="{44BD9FE8-00DF-4FBD-88B3-28A890AD2AFB}" uniqueName="25" name="Record Address.postalCode" queryTableFieldId="25" dataDxfId="18"/>
    <tableColumn id="26" xr3:uid="{FBB45341-5C70-44A6-A390-509765C01C8F}" uniqueName="26" name="Matched Record Address.postalCode" queryTableFieldId="26" dataDxfId="17"/>
    <tableColumn id="27" xr3:uid="{87D82CEE-59F2-46AA-8B54-DCEB03D5C810}" uniqueName="27" name="Record AlternateName.alternateName" queryTableFieldId="27" dataDxfId="16"/>
    <tableColumn id="28" xr3:uid="{7A0AFAAE-3F1D-46E0-9545-3C44DEE7FB94}" uniqueName="28" name="Matched Record AlternateName.alternateName" queryTableFieldId="28" dataDxfId="15"/>
    <tableColumn id="29" xr3:uid="{AF8C2964-59E8-46D1-ACCD-B8DD1B9C3EA8}" uniqueName="29" name="Record FamilyTreeRole.role" queryTableFieldId="29" dataDxfId="14"/>
    <tableColumn id="30" xr3:uid="{2CAAE321-D345-471C-B711-E5654C3BC41B}" uniqueName="30" name="Matched Record FamilyTreeRole.role" queryTableFieldId="30" dataDxfId="13"/>
    <tableColumn id="31" xr3:uid="{A8EB5D73-B206-4069-867C-3304A2F1D39F}" uniqueName="31" name="Record duns" queryTableFieldId="31"/>
    <tableColumn id="32" xr3:uid="{5BCDAD7C-3B9C-4860-BBFA-BA96FA39F38F}" uniqueName="32" name="Matched Record duns" queryTableFieldId="32"/>
    <tableColumn id="33" xr3:uid="{CAF1793B-6F1E-4C45-B932-6936CEA6A5E5}" uniqueName="33" name="Record name" queryTableFieldId="33" dataDxfId="12"/>
    <tableColumn id="34" xr3:uid="{E0DD0A7F-D457-4D18-8933-7F64F7B9F861}" uniqueName="34" name="Matched Record name" queryTableFieldId="34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5"/>
  <sheetViews>
    <sheetView showGridLines="0" tabSelected="1" zoomScale="91" workbookViewId="0">
      <selection activeCell="L18" sqref="L18"/>
    </sheetView>
  </sheetViews>
  <sheetFormatPr defaultRowHeight="14.4" x14ac:dyDescent="0.3"/>
  <cols>
    <col min="1" max="1" width="3.109375" customWidth="1"/>
    <col min="2" max="2" width="3.88671875" customWidth="1"/>
    <col min="3" max="3" width="16.77734375" bestFit="1" customWidth="1"/>
    <col min="4" max="4" width="16.77734375" customWidth="1"/>
    <col min="5" max="5" width="10.109375" customWidth="1"/>
    <col min="6" max="6" width="47.109375" customWidth="1"/>
    <col min="7" max="7" width="20" customWidth="1"/>
    <col min="8" max="8" width="10.109375" customWidth="1"/>
    <col min="9" max="9" width="5.5546875" customWidth="1"/>
  </cols>
  <sheetData>
    <row r="2" spans="3:9" ht="21" x14ac:dyDescent="0.4">
      <c r="C2" s="1" t="s">
        <v>5</v>
      </c>
      <c r="D2" s="1"/>
      <c r="E2" s="3" t="s">
        <v>1</v>
      </c>
      <c r="F2" s="3"/>
      <c r="G2" s="2"/>
    </row>
    <row r="3" spans="3:9" x14ac:dyDescent="0.3">
      <c r="C3" s="4" t="s">
        <v>4</v>
      </c>
      <c r="D3" s="12" t="s">
        <v>42</v>
      </c>
      <c r="E3" s="5" t="s">
        <v>40</v>
      </c>
      <c r="F3" s="5" t="s">
        <v>18</v>
      </c>
      <c r="G3" s="6" t="s">
        <v>19</v>
      </c>
      <c r="H3" s="6" t="s">
        <v>41</v>
      </c>
      <c r="I3" s="6" t="s">
        <v>0</v>
      </c>
    </row>
    <row r="4" spans="3:9" ht="28.8" customHeight="1" x14ac:dyDescent="0.3">
      <c r="C4" s="7" t="s">
        <v>2</v>
      </c>
      <c r="D4" s="7" cm="1">
        <f t="array" ref="D4:I4">_xlfn.LET(
    _xlpm.outcome_column, match_pairs[[#Data],[Match Outcome]],
    _xlpm.modified_outcome, _xlfn.SWITCH(_xlpm.outcome_column, "AUTO_MERGE", "Auto", "REVIEW", "Manual", _xlpm.outcome_column),
    _xlpm.source_range, _xlfn.HSTACK(_xlpm.modified_outcome, match_pairs[[#Data],[Match Rule]:[Match Criterion]]),
    _xlpm.source_ids, match_pairs[[#Data],[Match Rule]],
    _xlpm.sorted_unique_pairs, _xlfn._xlws.SORT(_xlfn.UNIQUE(_xlpm.source_range)),
    _xlpm.unique_ids, _xlfn.CHOOSECOLS(_xlpm.sorted_unique_pairs, 2),
    _xlpm.counts, COUNTIF(_xlpm.source_ids, _xlpm.unique_ids),
    _xlpm.total_records, COUNTA(_xlpm.source_ids),
    _xlpm.percentages, _xlpm.counts / _xlpm.total_records,
    _xlfn.HSTACK(_xlpm.sorted_unique_pairs, _xlpm.counts, _xlpm.percentages)
)</f>
        <v>0</v>
      </c>
      <c r="E4" s="7">
        <v>0</v>
      </c>
      <c r="F4" s="8">
        <v>0</v>
      </c>
      <c r="G4" s="7">
        <v>0</v>
      </c>
      <c r="H4" s="10">
        <v>0</v>
      </c>
      <c r="I4" s="11" t="e">
        <v>#DIV/0!</v>
      </c>
    </row>
    <row r="5" spans="3:9" x14ac:dyDescent="0.3">
      <c r="C5" s="7" t="s">
        <v>3</v>
      </c>
      <c r="D5" s="7"/>
      <c r="E5" s="7"/>
      <c r="F5" s="9"/>
      <c r="G5" s="7"/>
      <c r="H5" s="10"/>
      <c r="I5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2728-1839-4EEA-B4A6-A74BD431DDD1}">
  <dimension ref="A1:AJ1"/>
  <sheetViews>
    <sheetView workbookViewId="0">
      <selection activeCell="C7" sqref="C7"/>
    </sheetView>
  </sheetViews>
  <sheetFormatPr defaultColWidth="35.44140625" defaultRowHeight="14.4" x14ac:dyDescent="0.3"/>
  <cols>
    <col min="1" max="1" width="7.77734375" bestFit="1" customWidth="1"/>
    <col min="2" max="2" width="6" bestFit="1" customWidth="1"/>
    <col min="3" max="3" width="26.5546875" bestFit="1" customWidth="1"/>
    <col min="4" max="4" width="17.6640625" bestFit="1" customWidth="1"/>
    <col min="5" max="5" width="22" bestFit="1" customWidth="1"/>
    <col min="6" max="6" width="21.44140625" bestFit="1" customWidth="1"/>
    <col min="7" max="7" width="11.5546875" bestFit="1" customWidth="1"/>
    <col min="8" max="8" width="14.77734375" bestFit="1" customWidth="1"/>
    <col min="9" max="9" width="11.109375" bestFit="1" customWidth="1"/>
    <col min="10" max="10" width="35" bestFit="1" customWidth="1"/>
    <col min="11" max="11" width="19.21875" bestFit="1" customWidth="1"/>
    <col min="12" max="12" width="19.33203125" bestFit="1" customWidth="1"/>
    <col min="13" max="13" width="10.21875" bestFit="1" customWidth="1"/>
    <col min="14" max="14" width="10.5546875" bestFit="1" customWidth="1"/>
    <col min="15" max="15" width="75.21875" bestFit="1" customWidth="1"/>
    <col min="16" max="16" width="14.21875" bestFit="1" customWidth="1"/>
    <col min="17" max="22" width="80.88671875" bestFit="1" customWidth="1"/>
    <col min="23" max="23" width="22.6640625" bestFit="1" customWidth="1"/>
    <col min="24" max="24" width="29.77734375" bestFit="1" customWidth="1"/>
    <col min="25" max="25" width="36.77734375" bestFit="1" customWidth="1"/>
    <col min="26" max="26" width="39.5546875" bestFit="1" customWidth="1"/>
    <col min="27" max="27" width="56.21875" bestFit="1" customWidth="1"/>
    <col min="28" max="28" width="51.109375" bestFit="1" customWidth="1"/>
    <col min="29" max="30" width="80.88671875" bestFit="1" customWidth="1"/>
    <col min="31" max="31" width="24.21875" bestFit="1" customWidth="1"/>
    <col min="32" max="32" width="32.44140625" bestFit="1" customWidth="1"/>
    <col min="33" max="33" width="11.44140625" bestFit="1" customWidth="1"/>
    <col min="34" max="34" width="19.6640625" bestFit="1" customWidth="1"/>
    <col min="35" max="35" width="80.88671875" bestFit="1" customWidth="1"/>
    <col min="36" max="36" width="80.88671875" customWidth="1"/>
  </cols>
  <sheetData>
    <row r="1" spans="1:36" x14ac:dyDescent="0.3">
      <c r="A1" t="s">
        <v>65</v>
      </c>
      <c r="B1" t="s">
        <v>43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17</v>
      </c>
      <c r="N1" t="s">
        <v>16</v>
      </c>
      <c r="O1" t="s">
        <v>18</v>
      </c>
      <c r="P1" t="s">
        <v>19</v>
      </c>
      <c r="Q1" t="s">
        <v>20</v>
      </c>
      <c r="R1" t="s">
        <v>21</v>
      </c>
      <c r="S1" t="s">
        <v>38</v>
      </c>
      <c r="T1" t="s">
        <v>39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</row>
  </sheetData>
  <conditionalFormatting sqref="A29765:B1048576 L29765:L1048576 XFC33578:XFD55839">
    <cfRule type="expression" dxfId="10" priority="48">
      <formula>LEFT(C$1, LEN("Matched Record"))="Matched Record"</formula>
    </cfRule>
  </conditionalFormatting>
  <conditionalFormatting sqref="C1:AI1 AK1:XFD1">
    <cfRule type="expression" dxfId="9" priority="36">
      <formula>LEFT(D$1, LEN("Matched Record"))="Matched Record"</formula>
    </cfRule>
  </conditionalFormatting>
  <conditionalFormatting sqref="C1:XFD29763 C29764:AJ29764 AK29764:XFD33577 C29765:K1048576">
    <cfRule type="expression" dxfId="8" priority="51">
      <formula>LEFT(D$1, LEN("Matched Record"))="Matched Record"</formula>
    </cfRule>
  </conditionalFormatting>
  <conditionalFormatting sqref="M29765:M1048576 AK55840:XFC1048576">
    <cfRule type="expression" dxfId="7" priority="13">
      <formula>LEFT(M$1, LEN("Matched Record"))="Matched Record"</formula>
    </cfRule>
  </conditionalFormatting>
  <conditionalFormatting sqref="N29765:AI1048576 AK33578:XFB55839 XFD55840:XFD1048576">
    <cfRule type="expression" dxfId="6" priority="2">
      <formula>LEFT(O$1, LEN("Matched Record"))="Matched Record"</formula>
    </cfRule>
  </conditionalFormatting>
  <conditionalFormatting sqref="AJ1">
    <cfRule type="expression" dxfId="5" priority="45">
      <formula>LEFT(AK$1, LEN("Matched Record"))="Matched Record"</formula>
    </cfRule>
  </conditionalFormatting>
  <conditionalFormatting sqref="AJ29765:AJ1048576">
    <cfRule type="expression" dxfId="4" priority="50">
      <formula>LEFT(B$1, LEN("Matched Record"))="Matched Record"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92D5-4F3F-4286-940B-27C8BF2A41D9}">
  <dimension ref="A1:C30"/>
  <sheetViews>
    <sheetView workbookViewId="0">
      <selection activeCell="C6" sqref="C6"/>
    </sheetView>
  </sheetViews>
  <sheetFormatPr defaultRowHeight="14.4" x14ac:dyDescent="0.3"/>
  <cols>
    <col min="1" max="1" width="27.33203125" bestFit="1" customWidth="1"/>
    <col min="2" max="3" width="43.44140625" bestFit="1" customWidth="1"/>
    <col min="4" max="4" width="7.5546875" bestFit="1" customWidth="1"/>
  </cols>
  <sheetData>
    <row r="1" spans="1:3" x14ac:dyDescent="0.3">
      <c r="B1" s="14" t="s">
        <v>56</v>
      </c>
      <c r="C1" s="14" t="s">
        <v>57</v>
      </c>
    </row>
    <row r="2" spans="1:3" x14ac:dyDescent="0.3">
      <c r="A2" s="16" t="s">
        <v>68</v>
      </c>
    </row>
    <row r="3" spans="1:3" x14ac:dyDescent="0.3">
      <c r="A3" s="16" t="s">
        <v>61</v>
      </c>
      <c r="B3" t="s">
        <v>70</v>
      </c>
    </row>
    <row r="4" spans="1:3" x14ac:dyDescent="0.3">
      <c r="A4" s="16" t="s">
        <v>69</v>
      </c>
      <c r="B4" s="15" t="str" cm="1">
        <f t="array" ref="B4">_xlfn.LET(
   _xlpm.item_number, $C$4,
   _xlpm.source_list,_xlfn.ANCHORARRAY( PairIndex),
   _xlpm.real_index,  MIN(_xlpm.item_number, ROWS(_xlpm.source_list)),
   INDEX(_xlpm.source_list, _xlpm.real_index)
)</f>
        <v>Нет данных</v>
      </c>
      <c r="C4" s="19">
        <v>19</v>
      </c>
    </row>
    <row r="5" spans="1:3" ht="18" x14ac:dyDescent="0.35">
      <c r="A5" s="17" t="s">
        <v>44</v>
      </c>
    </row>
    <row r="6" spans="1:3" x14ac:dyDescent="0.3">
      <c r="A6" s="16" t="s">
        <v>45</v>
      </c>
      <c r="B6" s="15" t="e" cm="1">
        <f t="array" ref="B6">INDEX(match_pairs[Match Model Id], $B$4)</f>
        <v>#VALUE!</v>
      </c>
    </row>
    <row r="7" spans="1:3" x14ac:dyDescent="0.3">
      <c r="A7" s="16" t="s">
        <v>46</v>
      </c>
      <c r="B7" s="15" t="e" cm="1">
        <f t="array" ref="B7">INDEX(match_pairs[Match Model Name], $B$4)</f>
        <v>#VALUE!</v>
      </c>
    </row>
    <row r="8" spans="1:3" x14ac:dyDescent="0.3">
      <c r="A8" s="16" t="s">
        <v>47</v>
      </c>
      <c r="B8" s="15" t="e" cm="1">
        <f t="array" ref="B8">INDEX(match_pairs[Match Model Version], $B$4)</f>
        <v>#VALUE!</v>
      </c>
    </row>
    <row r="9" spans="1:3" x14ac:dyDescent="0.3">
      <c r="A9" s="16" t="s">
        <v>48</v>
      </c>
      <c r="B9" s="15" t="e" cm="1">
        <f t="array" ref="B9">INDEX(match_pairs[Population], $B$4)</f>
        <v>#VALUE!</v>
      </c>
    </row>
    <row r="10" spans="1:3" ht="18" x14ac:dyDescent="0.35">
      <c r="A10" s="17" t="s">
        <v>49</v>
      </c>
    </row>
    <row r="11" spans="1:3" x14ac:dyDescent="0.3">
      <c r="A11" s="16" t="s">
        <v>50</v>
      </c>
      <c r="B11" s="15" t="e" cm="1">
        <f t="array" ref="B11">INDEX(match_pairs[Match Rule], $B$4)</f>
        <v>#VALUE!</v>
      </c>
    </row>
    <row r="12" spans="1:3" ht="31.8" customHeight="1" x14ac:dyDescent="0.3">
      <c r="A12" s="18" t="s">
        <v>51</v>
      </c>
      <c r="B12" s="20" t="e" cm="1">
        <f t="array" ref="B12">INDEX(match_pairs[Description], $B$4)</f>
        <v>#VALUE!</v>
      </c>
      <c r="C12" s="20"/>
    </row>
    <row r="13" spans="1:3" x14ac:dyDescent="0.3">
      <c r="A13" s="16" t="s">
        <v>52</v>
      </c>
      <c r="B13" s="15" t="e" cm="1">
        <f t="array" ref="B13">INDEX(match_pairs[Match Criterion], $B$4)</f>
        <v>#VALUE!</v>
      </c>
    </row>
    <row r="14" spans="1:3" x14ac:dyDescent="0.3">
      <c r="A14" s="16" t="s">
        <v>53</v>
      </c>
      <c r="B14" s="15" t="e" cm="1">
        <f t="array" ref="B14">INDEX(match_pairs[Match Score], $B$4)</f>
        <v>#VALUE!</v>
      </c>
    </row>
    <row r="15" spans="1:3" x14ac:dyDescent="0.3">
      <c r="A15" s="16" t="s">
        <v>54</v>
      </c>
      <c r="B15" s="15" t="e" cm="1">
        <f t="array" ref="B15">INDEX(match_pairs[Match Outcome], $B$4)</f>
        <v>#VALUE!</v>
      </c>
    </row>
    <row r="16" spans="1:3" x14ac:dyDescent="0.3">
      <c r="A16" s="16" t="s">
        <v>55</v>
      </c>
      <c r="B16" s="15" t="e" cm="1">
        <f t="array" ref="B16">INDEX(match_pairs[Matched By], $B$4)</f>
        <v>#VALUE!</v>
      </c>
    </row>
    <row r="18" spans="1:3" x14ac:dyDescent="0.3">
      <c r="A18" s="14" t="s">
        <v>60</v>
      </c>
      <c r="B18" s="14" t="s">
        <v>56</v>
      </c>
      <c r="C18" s="14" t="s">
        <v>57</v>
      </c>
    </row>
    <row r="19" spans="1:3" x14ac:dyDescent="0.3">
      <c r="A19" s="13" t="s">
        <v>59</v>
      </c>
      <c r="B19" t="e" cm="1">
        <f t="array" ref="B19">INDEX(match_pairs[Record ID], $B$4)</f>
        <v>#VALUE!</v>
      </c>
      <c r="C19" t="e" cm="1">
        <f t="array" ref="C19">INDEX(match_pairs[Matched Record ID], $B$4)</f>
        <v>#VALUE!</v>
      </c>
    </row>
    <row r="20" spans="1:3" x14ac:dyDescent="0.3">
      <c r="A20" s="13" t="s">
        <v>58</v>
      </c>
      <c r="B20" t="e" cm="1">
        <f t="array" ref="B20">INDEX(match_pairs[Record Source], $B$4)</f>
        <v>#VALUE!</v>
      </c>
      <c r="C20" t="e" cm="1">
        <f t="array" ref="C20">INDEX(match_pairs[Matched Record Source], $B$4)</f>
        <v>#VALUE!</v>
      </c>
    </row>
    <row r="21" spans="1:3" x14ac:dyDescent="0.3">
      <c r="A21" s="13" t="str" cm="1">
        <f t="array" ref="A21:A30">TRANSPOSE(_xlfn.LET(
    _xlpm.headers, match_pairs[#Headers],
    _xlpm.start_col, COLUMN(INDEX(_xlpm.headers, 1, MATCH("Match Criterion", _xlpm.headers, 0))) + 1,
    _xlpm.all_dynamic_headers, _xlfn.DROP(_xlpm.headers, , _xlpm.start_col - 1),
    _xlpm.count_cols, COLUMNS(_xlpm.all_dynamic_headers),
    _xlpm.seq, _xlfn.SEQUENCE(1, _xlpm.count_cols/2, 1, 2),
    _xlpm.raw_names, INDEX(_xlpm.all_dynamic_headers, 1, _xlpm.seq),
    SUBSTITUTE(_xlpm.raw_names, "Record ", "")
))</f>
        <v>Address.addressLine1</v>
      </c>
      <c r="B21" t="e" cm="1">
        <f t="array" ref="B21">_xlfn.LET(
    _xlpm.lastFixedColName, "Match Criterion",
    _xlpm.rowIndex, $B$4,
    _xlpm.headers, match_pairs[#Headers],
    _xlpm.start_col, COLUMN(INDEX(_xlpm.headers, 1, MATCH(_xlpm.lastFixedColName, _xlpm.headers, 0))) + 1,
    _xlpm.target_data, INDEX(match_pairs[], _xlpm.rowIndex, 0),
    _xlpm.dynamic_data, _xlfn.DROP(_xlpm.target_data, , _xlpm.start_col - 1),
    _xlpm.count_cols, COLUMNS(_xlpm.dynamic_data),
    _xlpm.seq, _xlfn.SEQUENCE(_xlpm.count_cols/2, 1, 1, 2),
    INDEX(_xlpm.dynamic_data, 1, _xlpm.seq)
)</f>
        <v>#VALUE!</v>
      </c>
      <c r="C21" t="e" cm="1">
        <f t="array" ref="C21">_xlfn.LET(
    _xlpm.lastFixedColName, "Match Criterion",
    _xlpm.rowIndex, $B$4,
    _xlpm.headers, match_pairs[#Headers],
    _xlpm.start_col, COLUMN(INDEX(_xlpm.headers, 1, MATCH(_xlpm.lastFixedColName, _xlpm.headers, 0))) + 1,
    _xlpm.target_data, INDEX(match_pairs[], _xlpm.rowIndex, 0),
    _xlpm.dynamic_data, _xlfn.DROP(_xlpm.target_data, , _xlpm.start_col - 1),
    _xlpm.count_cols, COLUMNS(_xlpm.dynamic_data),
    _xlpm.seq, _xlfn.SEQUENCE(_xlpm.count_cols/2, 1, 2, 2),
    INDEX(_xlpm.dynamic_data, 1, _xlpm.seq)
)</f>
        <v>#VALUE!</v>
      </c>
    </row>
    <row r="22" spans="1:3" x14ac:dyDescent="0.3">
      <c r="A22" s="13" t="str">
        <v>Address.addressLine2</v>
      </c>
    </row>
    <row r="23" spans="1:3" x14ac:dyDescent="0.3">
      <c r="A23" s="13" t="str">
        <v>Address.city</v>
      </c>
    </row>
    <row r="24" spans="1:3" x14ac:dyDescent="0.3">
      <c r="A24" s="13" t="str">
        <v>Address.country</v>
      </c>
    </row>
    <row r="25" spans="1:3" x14ac:dyDescent="0.3">
      <c r="A25" s="13" t="str">
        <v>Address.countrySubdivision</v>
      </c>
    </row>
    <row r="26" spans="1:3" x14ac:dyDescent="0.3">
      <c r="A26" s="13" t="str">
        <v>Address.postalCode</v>
      </c>
    </row>
    <row r="27" spans="1:3" x14ac:dyDescent="0.3">
      <c r="A27" s="13" t="str">
        <v>AlternateName.alternateName</v>
      </c>
    </row>
    <row r="28" spans="1:3" x14ac:dyDescent="0.3">
      <c r="A28" s="13" t="str">
        <v>FamilyTreeRole.role</v>
      </c>
    </row>
    <row r="29" spans="1:3" x14ac:dyDescent="0.3">
      <c r="A29" s="13" t="str">
        <v>duns</v>
      </c>
    </row>
    <row r="30" spans="1:3" x14ac:dyDescent="0.3">
      <c r="A30" s="13" t="str">
        <v>name</v>
      </c>
    </row>
  </sheetData>
  <autoFilter ref="A18:C30" xr:uid="{EF2E92D5-4F3F-4286-940B-27C8BF2A41D9}"/>
  <mergeCells count="1">
    <mergeCell ref="B12:C12"/>
  </mergeCells>
  <conditionalFormatting sqref="A19">
    <cfRule type="cellIs" priority="4" operator="notEqual">
      <formula>""""""</formula>
    </cfRule>
  </conditionalFormatting>
  <conditionalFormatting sqref="A19:C49">
    <cfRule type="expression" dxfId="3" priority="1">
      <formula>AND($B19&lt;&gt;$C19, OR($B19&lt;&gt;"", $C19&lt;&gt;""))</formula>
    </cfRule>
    <cfRule type="expression" dxfId="2" priority="2">
      <formula>AND($B19=$C19, $B19&lt;&gt;"")</formula>
    </cfRule>
    <cfRule type="expression" dxfId="1" priority="3">
      <formula>AND($A19&lt;&gt;"",$B19="", $C19="")</formula>
    </cfRule>
  </conditionalFormatting>
  <dataValidations count="3">
    <dataValidation type="list" allowBlank="1" showInputMessage="1" showErrorMessage="1" sqref="B3" xr:uid="{180C0C11-B1E9-4384-81B6-18E1F53081B4}">
      <formula1>_xlfn.ANCHORARRAY(MatchOutcome)</formula1>
    </dataValidation>
    <dataValidation type="list" allowBlank="1" showInputMessage="1" showErrorMessage="1" sqref="B2" xr:uid="{CB298501-3D53-4EF2-82D5-23DD9A199A93}">
      <formula1>_xlfn.ANCHORARRAY(Record1List)</formula1>
    </dataValidation>
    <dataValidation type="list" allowBlank="1" showInputMessage="1" showErrorMessage="1" sqref="C2" xr:uid="{5157C654-574F-4876-A7C5-429FB780DA68}">
      <formula1>_xlfn.ANCHORARRAY(Record2List)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0" r:id="rId4" name="Spinner 14">
              <controlPr defaultSize="0" autoPict="0">
                <anchor moveWithCells="1" sizeWithCells="1">
                  <from>
                    <xdr:col>2</xdr:col>
                    <xdr:colOff>114300</xdr:colOff>
                    <xdr:row>2</xdr:row>
                    <xdr:rowOff>106680</xdr:rowOff>
                  </from>
                  <to>
                    <xdr:col>2</xdr:col>
                    <xdr:colOff>365760</xdr:colOff>
                    <xdr:row>4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822F-C9FB-4E16-B699-766A8F5F5908}">
  <dimension ref="A1:G3"/>
  <sheetViews>
    <sheetView workbookViewId="0">
      <selection activeCell="D2" sqref="D2"/>
    </sheetView>
  </sheetViews>
  <sheetFormatPr defaultRowHeight="14.4" x14ac:dyDescent="0.3"/>
  <cols>
    <col min="1" max="1" width="27.21875" customWidth="1"/>
    <col min="2" max="2" width="13" customWidth="1"/>
    <col min="6" max="6" width="25.109375" customWidth="1"/>
    <col min="7" max="7" width="11.44140625" bestFit="1" customWidth="1"/>
  </cols>
  <sheetData>
    <row r="1" spans="1:7" x14ac:dyDescent="0.3">
      <c r="A1" s="13" t="s">
        <v>62</v>
      </c>
      <c r="B1" s="13" t="s">
        <v>63</v>
      </c>
      <c r="C1" s="13"/>
      <c r="D1" s="13" t="s">
        <v>64</v>
      </c>
      <c r="F1" s="13" t="s">
        <v>66</v>
      </c>
      <c r="G1" s="13" t="s">
        <v>67</v>
      </c>
    </row>
    <row r="2" spans="1:7" x14ac:dyDescent="0.3">
      <c r="A2" t="str" cm="1">
        <f t="array" aca="1" ref="A2" ca="1">LEFT(CELL("filename",Metrics!$A$1),FIND("[",CELL("filename",Metrics!$A$1),1)-1)</f>
        <v>C:\Tools\IDMC MatchReport\</v>
      </c>
      <c r="B2" t="str" cm="1">
        <f t="array" ref="B2:B3">_xlfn.VSTACK("All", _xlfn._xlws.SORT(_xlfn.UNIQUE(match_pairs[Match Outcome])))</f>
        <v>All</v>
      </c>
      <c r="D2" t="str" cm="1">
        <f t="array" ref="D2">_xlfn.LET(
   _xlpm._c1, "--- 1. СЧИТЫВАЕМ ФИЛЬТРЫ С ЛИСТА ---",
   _xlpm.sel_status, 'Comparison by fields'!$B$3,
   _xlpm.sel_rec1,   'Comparison by fields'!$B$2,
   _xlpm.sel_rec2,   'Comparison by fields'!$C$2,
   _xlpm._c2, "--- 2. ССЫЛКИ НА СТОЛБЦЫ ТАБЛИЦЫ ---",
   _xlpm.col_index,    match_pairs[Index],
   _xlpm.col_outcome,  match_pairs[Match Outcome],
   _xlpm.col_rec1_id,  match_pairs[Record ID],
   _xlpm.col_rec2_id,  match_pairs[Matched Record ID],
   _xlpm.col_visible,  match_pairs[IsVisible],
   _xlpm._c3, "--- 3. ЛОГИКА (Если пусто - берем всё/1, иначе - ищем) ---",
   _xlpm.cond_status, IF(OR(_xlpm.sel_status="All", _xlpm.sel_status=""), 1, _xlpm.col_outcome = _xlpm.sel_status),
   _xlpm.cond_rec1,   IF(_xlpm.sel_rec1="", 1, _xlpm.col_rec1_id = _xlpm.sel_rec1),
   _xlpm.cond_rec2,   IF(_xlpm.sel_rec2="", 1, _xlpm.col_rec2_id = _xlpm.sel_rec2),
   _xlpm.cond_vis,    (_xlpm.col_visible=1),
   _xlpm._c4, "--- 4. ФИНАЛЬНЫЙ РАСЧЕТ ---",
   _xlpm.filtered_data, _xlfn._xlws.FILTER(_xlpm.col_index, _xlpm.cond_status * _xlpm.cond_rec1 * _xlpm.cond_rec2 * _xlpm.cond_vis, "Нет данных"),
   _xlfn._xlws.SORT(_xlfn.UNIQUE(_xlpm.filtered_data))
)</f>
        <v>Нет данных</v>
      </c>
      <c r="F2" t="e" cm="1" vm="1">
        <f t="array" ref="F2">_xlfn._xlws.SORT(_xlfn.UNIQUE(_xlfn._xlws.FILTER(match_pairs[Record ID], match_pairs[IsVisible]=1)))</f>
        <v>#VALUE!</v>
      </c>
      <c r="G2" t="str" cm="1">
        <f t="array" ref="G2">_xlfn.LET(
   _xlpm._c1, "--- ВВОДНЫЕ ДАННЫЕ --- Значение выбранного Record 1 ---",
   _xlpm.sel_rec1, 'Comparison by fields'!$B$2,
   _xlpm._c2, "--- СТОЛБЦЫ ТАБЛИЦЫ ---",
   _xlpm.col_target,   match_pairs[Matched Record ID],
   _xlpm.col_filter,   match_pairs[Record ID],
   _xlpm.col_visible,  match_pairs[IsVisible],
   _xlpm._c3, "--- ЛОГИКА ФИЛЬТРАЦИИ ---",
   _xlpm.cond_rec1, IF(_xlpm.sel_rec1="", 1, _xlpm.col_filter = _xlpm.sel_rec1),
   _xlpm.cond_vis,  (_xlpm.col_visible=1),
   _xlpm._c4, "--- ФИНАЛЬНЫЙ РАСЧЕТ ---",
   _xlpm.filtered_data, _xlfn._xlws.FILTER(_xlpm.col_target, _xlpm.cond_rec1 * _xlpm.cond_vis, "Нет связанных записей"),
   _xlfn._xlws.SORT(_xlfn.UNIQUE(_xlpm.filtered_data))
)</f>
        <v>Нет связанных записей</v>
      </c>
    </row>
    <row r="3" spans="1:7" x14ac:dyDescent="0.3">
      <c r="B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2B4C52-AC01-4020-8795-5CC418C8A0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Metrics</vt:lpstr>
      <vt:lpstr>Match Pairs</vt:lpstr>
      <vt:lpstr>Comparison by fields</vt:lpstr>
      <vt:lpstr>Service</vt:lpstr>
      <vt:lpstr>FilePath</vt:lpstr>
      <vt:lpstr>MatchOutcome</vt:lpstr>
      <vt:lpstr>PairIndex</vt:lpstr>
      <vt:lpstr>Record1List</vt:lpstr>
      <vt:lpstr>Record2List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2026-01-30T00:19:34Z</dcterms:created>
  <dcterms:modified xsi:type="dcterms:W3CDTF">2026-01-30T00:36:08Z</dcterms:modified>
  <cp:category/>
  <cp:contentStatus/>
</cp:coreProperties>
</file>
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66925"/>
  <xr:revisionPtr revIDLastSave="0" documentId="13_ncr:1_{B4E80E88-913D-410D-AC63-E6741DCAB73E}" xr6:coauthVersionLast="47" xr6:coauthVersionMax="47" xr10:uidLastSave="{00000000-0000-0000-0000-000000000000}"/>
  <bookViews>
    <workbookView xWindow="-30" yWindow="-16320" windowWidth="29040" windowHeight="15720" activeTab="2" xr2:uid="{00000000-000D-0000-FFFF-FFFF00000000}"/>
  </bookViews>
  <sheets>
    <sheet name="Config" sheetId="16" r:id="rId1"/>
    <sheet name="Analysis" sheetId="17" r:id="rId2"/>
    <sheet name="Metrics" sheetId="2" r:id="rId3"/>
    <sheet name="Match Pairs" sheetId="8" r:id="rId4"/>
    <sheet name="Comparison by fields" sheetId="15" r:id="rId5"/>
    <sheet name="Service" sheetId="14" r:id="rId6"/>
  </sheets>
  <definedNames>
    <definedName name="_xlnm._FilterDatabase" localSheetId="4" hidden="1">'Comparison by fields'!$A$18:$C$30</definedName>
    <definedName name="csvFilePath">Config!$B$3</definedName>
    <definedName name="ExternalData_1" localSheetId="3" hidden="1">'Match Pairs'!$B$1:$AL$2</definedName>
    <definedName name="FilePath">Service!$A$2</definedName>
    <definedName name="MatchOutcome">Service!$B$2</definedName>
    <definedName name="PairIndex">Service!$D$2</definedName>
    <definedName name="Record1List">Service!$F$2</definedName>
    <definedName name="Record2List">Service!$G$2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5" l="1" a="1"/>
  <c r="A21" i="15" s="1"/>
  <c r="B2" i="14" a="1"/>
  <c r="B2" i="14" s="1"/>
  <c r="A2" i="8"/>
  <c r="D4" i="2" a="1"/>
  <c r="D4" i="2" s="1"/>
  <c r="A2" i="14" a="1"/>
  <c r="A2" i="14" s="1"/>
  <c r="G2" i="14" l="1" a="1"/>
  <c r="G2" i="14" s="1"/>
  <c r="D2" i="14" a="1"/>
  <c r="D2" i="14" s="1"/>
  <c r="F2" i="14" a="1"/>
  <c r="F2" i="14" s="1"/>
  <c r="H6" i="2"/>
  <c r="I6" i="2"/>
  <c r="B4" i="15" l="1" a="1"/>
  <c r="B4" i="15" s="1"/>
  <c r="C21" i="15" l="1" a="1"/>
  <c r="C21" i="15" s="1"/>
  <c r="B14" i="15" a="1"/>
  <c r="B14" i="15" s="1"/>
  <c r="B12" i="15" a="1"/>
  <c r="B12" i="15" s="1"/>
  <c r="B21" i="15" a="1"/>
  <c r="B21" i="15" s="1"/>
  <c r="B11" i="15" a="1"/>
  <c r="B11" i="15" s="1"/>
  <c r="C20" i="15" a="1"/>
  <c r="C20" i="15" s="1"/>
  <c r="B9" i="15" a="1"/>
  <c r="B9" i="15" s="1"/>
  <c r="B20" i="15" a="1"/>
  <c r="B20" i="15" s="1"/>
  <c r="B8" i="15" a="1"/>
  <c r="B8" i="15" s="1"/>
  <c r="C19" i="15" a="1"/>
  <c r="C19" i="15" s="1"/>
  <c r="B7" i="15" a="1"/>
  <c r="B7" i="15" s="1"/>
  <c r="B6" i="15" a="1"/>
  <c r="B6" i="15" s="1"/>
  <c r="B19" i="15" a="1"/>
  <c r="B19" i="15" s="1"/>
  <c r="B16" i="15" a="1"/>
  <c r="B16" i="15" s="1"/>
  <c r="B15" i="15" a="1"/>
  <c r="B15" i="15" s="1"/>
  <c r="B13" i="15" a="1"/>
  <c r="B1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C0151636-6F89-455B-A4EB-7B3378678CAD}">
      <text>
        <r>
          <rPr>
            <sz val="9"/>
            <color indexed="81"/>
            <rFont val="Tahoma"/>
            <family val="2"/>
          </rPr>
          <t xml:space="preserve">You can put a CSV file name in the current directory
or a full path to the CSV file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ED0C19-3D69-450B-9B36-F9300D0FA6C0}" keepAlive="1" name="Query - match_pairs" description="Connection to the 'match_pairs' query in the workbook." type="5" refreshedVersion="8" background="1" saveData="1">
    <dbPr connection="Provider=Microsoft.Mashup.OleDb.1;Data Source=$Workbook$;Location=match_pairs;Extended Properties=&quot;&quot;" command="SELECT * FROM [match_pairs]"/>
  </connection>
  <connection id="2" xr16:uid="{146AC24F-8D63-4943-956C-DE69A46A2ABD}" keepAlive="1" name="Query - match_pairs(1)" description="Connection to the 'match_pairs' query in the workbook." type="5" refreshedVersion="0" background="1" saveData="1">
    <dbPr connection="Provider=Microsoft.Mashup.OleDb.1;Data Source=$Workbook$;Location=match_pairs;Extended Properties=&quot;&quot;" command="SELECT * FROM [match_pair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<sst xmlns="http://schemas.openxmlformats.org/spreadsheetml/2006/main" count="79" uniqueCount="76">
  <si>
    <t>%</t>
  </si>
  <si>
    <t>Rule</t>
  </si>
  <si>
    <t>Fuzzy</t>
  </si>
  <si>
    <t>Exact</t>
  </si>
  <si>
    <t>Match Strategy</t>
  </si>
  <si>
    <t>Match Rules</t>
  </si>
  <si>
    <t>Description</t>
  </si>
  <si>
    <t>Match Criterion</t>
  </si>
  <si>
    <t>Rule Id</t>
  </si>
  <si>
    <t># Pairs</t>
  </si>
  <si>
    <t>Merge Strategy</t>
  </si>
  <si>
    <t>Model:</t>
  </si>
  <si>
    <t>Match Model Id:</t>
  </si>
  <si>
    <t>Match Model Name:</t>
  </si>
  <si>
    <t>Match Model Version:</t>
  </si>
  <si>
    <t>Population:</t>
  </si>
  <si>
    <t>Rule:</t>
  </si>
  <si>
    <t>Match Rule:</t>
  </si>
  <si>
    <t>Description:</t>
  </si>
  <si>
    <t>Match Criterion:</t>
  </si>
  <si>
    <t>Match Score:</t>
  </si>
  <si>
    <t xml:space="preserve">Match Outcome: </t>
  </si>
  <si>
    <t>Matched By:</t>
  </si>
  <si>
    <t xml:space="preserve">RECORD 1 </t>
  </si>
  <si>
    <t>RECORD 2</t>
  </si>
  <si>
    <t>Source:</t>
  </si>
  <si>
    <t>FIELD</t>
  </si>
  <si>
    <t>Filter by Outcome:</t>
  </si>
  <si>
    <t>Dynamic Path</t>
  </si>
  <si>
    <t>MatchOutcome</t>
  </si>
  <si>
    <t>PairIndex</t>
  </si>
  <si>
    <t>IsVisible</t>
  </si>
  <si>
    <t>Record1List</t>
  </si>
  <si>
    <t>Record2List</t>
  </si>
  <si>
    <t>Record ID:</t>
  </si>
  <si>
    <t>Selected Pair Index:</t>
  </si>
  <si>
    <t>All</t>
  </si>
  <si>
    <t>Column1</t>
  </si>
  <si>
    <t>Column2</t>
  </si>
  <si>
    <t>Configuration</t>
  </si>
  <si>
    <t xml:space="preserve">Matched Pairs CSV Path: 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</si>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</sst>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rgb="FF1F497D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97D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F497D"/>
      </left>
      <right style="thin">
        <color theme="0"/>
      </right>
      <top style="thin">
        <color rgb="FF1F497D"/>
      </top>
      <bottom/>
      <diagonal/>
    </border>
    <border>
      <left style="thin">
        <color theme="0"/>
      </left>
      <right style="thin">
        <color theme="0"/>
      </right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 style="thin">
        <color theme="0"/>
      </right>
      <top style="thin">
        <color rgb="FF1F497D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8" fillId="0" borderId="0" xfId="0" applyFont="1"/>
    <xf numFmtId="0" fontId="0" fillId="0" borderId="0" xfId="0" applyAlignment="1">
      <alignment horizontal="centerContinuous"/>
    </xf>
    <xf numFmtId="0" fontId="18" fillId="0" borderId="0" xfId="0" applyFont="1" applyAlignment="1">
      <alignment horizontal="centerContinuous"/>
    </xf>
    <xf numFmtId="0" fontId="13" fillId="33" borderId="10" xfId="0" applyFont="1" applyFill="1" applyBorder="1" applyAlignment="1">
      <alignment horizontal="right" indent="1"/>
    </xf>
    <xf numFmtId="0" fontId="13" fillId="33" borderId="11" xfId="0" applyFont="1" applyFill="1" applyBorder="1" applyAlignment="1">
      <alignment horizontal="center"/>
    </xf>
    <xf numFmtId="0" fontId="13" fillId="33" borderId="12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 vertical="center"/>
    </xf>
    <xf numFmtId="1" fontId="0" fillId="0" borderId="13" xfId="0" applyNumberFormat="1" applyBorder="1" applyAlignment="1">
      <alignment horizontal="right" vertical="center"/>
    </xf>
    <xf numFmtId="9" fontId="0" fillId="0" borderId="13" xfId="1" applyFont="1" applyFill="1" applyBorder="1" applyAlignment="1">
      <alignment horizontal="right" vertical="center"/>
    </xf>
    <xf numFmtId="0" fontId="13" fillId="33" borderId="14" xfId="0" applyFont="1" applyFill="1" applyBorder="1" applyAlignment="1">
      <alignment horizontal="right" indent="1"/>
    </xf>
    <xf numFmtId="0" fontId="16" fillId="0" borderId="0" xfId="0" applyFont="1"/>
    <xf numFmtId="0" fontId="16" fillId="0" borderId="15" xfId="0" applyFont="1" applyBorder="1" applyAlignment="1">
      <alignment horizont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right"/>
    </xf>
    <xf numFmtId="0" fontId="19" fillId="0" borderId="0" xfId="0" applyFont="1"/>
    <xf numFmtId="0" fontId="16" fillId="0" borderId="0" xfId="0" applyFont="1" applyAlignment="1">
      <alignment horizontal="right" vertical="top"/>
    </xf>
    <xf numFmtId="1" fontId="0" fillId="0" borderId="0" xfId="0" applyNumberFormat="1"/>
    <xf numFmtId="1" fontId="16" fillId="0" borderId="0" xfId="0" applyNumberFormat="1" applyFont="1"/>
    <xf numFmtId="9" fontId="16" fillId="0" borderId="0" xfId="1" applyFont="1"/>
    <xf numFmtId="0" fontId="0" fillId="0" borderId="0" xfId="0" applyAlignment="1">
      <alignment horizontal="left" vertical="top" wrapText="1"/>
    </xf>
    <xf numFmtId="0" fontId="0" fillId="0" borderId="0" xfId="0" applyNumberFormat="1"/>
    <xf numFmtId="0" fontId="13" fillId="34" borderId="16" xfId="0" applyFont="1" applyFill="1" applyBorder="1"/>
    <xf numFmtId="0" fontId="13" fillId="34" borderId="17" xfId="0" applyFont="1" applyFill="1" applyBorder="1"/>
    <xf numFmtId="0" fontId="0" fillId="35" borderId="16" xfId="0" applyFont="1" applyFill="1" applyBorder="1"/>
    <xf numFmtId="0" fontId="0" fillId="35" borderId="16" xfId="0" applyNumberFormat="1" applyFont="1" applyFill="1" applyBorder="1"/>
    <xf numFmtId="0" fontId="0" fillId="35" borderId="17" xfId="0" applyNumberFormat="1" applyFont="1" applyFill="1" applyBorder="1"/>
    <xf numFmtId="0" fontId="13" fillId="34" borderId="0" xfId="0" applyFont="1" applyFill="1" applyBorder="1"/>
    <xf numFmtId="0" fontId="0" fillId="35" borderId="0" xfId="0" applyNumberFormat="1" applyFont="1" applyFill="1" applyBorder="1"/>
    <xf numFmtId="0" fontId="0" fillId="0" borderId="18" xfId="0" applyFill="1" applyBorder="1"/>
    <xf numFmtId="0" fontId="21" fillId="36" borderId="0" xfId="0" applyFont="1" applyFill="1"/>
    <xf numFmtId="0" fontId="0" fillId="36" borderId="0" xfId="0" applyFill="1"/>
    <xf numFmtId="0" fontId="16" fillId="36" borderId="0" xfId="0" applyFont="1" applyFill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61">
    <dxf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BDB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A50021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A50021"/>
        </patternFill>
      </fill>
    </dxf>
    <dxf>
      <fill>
        <patternFill>
          <bgColor rgb="FFFFCCCC"/>
        </patternFill>
      </fill>
    </dxf>
    <dxf>
      <fill>
        <patternFill>
          <bgColor rgb="FFA50021"/>
        </patternFill>
      </fill>
    </dxf>
    <dxf>
      <fill>
        <patternFill>
          <bgColor rgb="FFA50021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A50021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A50021"/>
        </patternFill>
      </fill>
    </dxf>
    <dxf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border outline="0">
        <top style="thin">
          <color theme="9" tint="0.39997558519241921"/>
        </top>
        <bottom style="thin">
          <color theme="9" tint="0.39997558519241921"/>
        </bottom>
      </border>
    </dxf>
  </dxfs>
  <tableStyles count="0" defaultTableStyle="TableStyleMedium2" defaultPivotStyle="PivotStyleLight16"/>
  <colors>
    <mruColors>
      <color rgb="FFFFBDBD"/>
      <color rgb="FFFF99CC"/>
      <color rgb="FF1F497D"/>
      <color rgb="FFFFCCCC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Pairs by Rules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3"/>
          <c:order val="0"/>
          <c:tx>
            <c:strRef>
              <c:f>Metrics!$H$3</c:f>
              <c:strCache>
                <c:ptCount val="1"/>
                <c:pt idx="0">
                  <c:v># Pairs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638-4F20-AAA5-116BE424D6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638-4F20-AAA5-116BE424D6B2}"/>
              </c:ext>
            </c:extLst>
          </c:dPt>
          <c:dLbls>
            <c:dLbl>
              <c:idx val="0"/>
              <c:layout>
                <c:manualLayout>
                  <c:x val="0.10964188238417992"/>
                  <c:y val="4.995421241406241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638-4F20-AAA5-116BE424D6B2}"/>
                </c:ext>
              </c:extLst>
            </c:dLbl>
            <c:dLbl>
              <c:idx val="1"/>
              <c:layout>
                <c:manualLayout>
                  <c:x val="-1.3886608608995269E-2"/>
                  <c:y val="-0.2867989406158539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638-4F20-AAA5-116BE424D6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Metrics!$E$4:$E$5</c:f>
              <c:numCache>
                <c:formatCode>General</c:formatCode>
                <c:ptCount val="2"/>
                <c:pt idx="0">
                  <c:v>0</c:v>
                </c:pt>
              </c:numCache>
            </c:numRef>
          </c:cat>
          <c:val>
            <c:numRef>
              <c:f>Metrics!$H$4:$H$5</c:f>
              <c:numCache>
                <c:formatCode>0</c:formatCode>
                <c:ptCount val="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38-4F20-AAA5-116BE424D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C$4" max="10000" min="1" page="1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2844</xdr:colOff>
      <xdr:row>6</xdr:row>
      <xdr:rowOff>157004</xdr:rowOff>
    </xdr:from>
    <xdr:to>
      <xdr:col>9</xdr:col>
      <xdr:colOff>8374</xdr:colOff>
      <xdr:row>36</xdr:row>
      <xdr:rowOff>167468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5E564D-88D0-D240-C289-984CF7B0D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114300</xdr:colOff>
          <xdr:row>2</xdr:row>
          <xdr:rowOff>106680</xdr:rowOff>
        </xdr:from>
        <xdr:to>
          <xdr:col>2</xdr:col>
          <xdr:colOff>365760</xdr:colOff>
          <xdr:row>4</xdr:row>
          <xdr:rowOff>76200</xdr:rowOff>
        </xdr:to>
        <xdr:sp macro="" textlink="">
          <xdr:nvSpPr>
            <xdr:cNvPr id="4110" name="Spinner 14" hidden="1">
              <a:extLst>
                <a:ext uri="{63B3BB69-23CF-44E3-9099-C40C66FF867C}">
                  <a14:compatExt spid="_x0000_s4110"/>
                </a:ext>
                <a:ext uri="{FF2B5EF4-FFF2-40B4-BE49-F238E27FC236}">
                  <a16:creationId xmlns:a16="http://schemas.microsoft.com/office/drawing/2014/main" id="{00000000-0008-0000-0200-00000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F75E5C4-A264-4B64-8608-A3E444AAB9F2}" autoFormatId="16" applyNumberFormats="0" applyBorderFormats="0" applyFontFormats="0" applyPatternFormats="0" applyAlignmentFormats="0" applyWidthHeightFormats="0">
  <queryTableRefresh nextId="40" unboundColumnsLeft="1">
    <queryTableFields count="38">
      <queryTableField id="38" dataBound="0" tableColumnId="38"/>
      <queryTableField id="1" name="Index" tableColumnId="1"/>
      <queryTableField id="2" name="Record ID" tableColumnId="2"/>
      <queryTableField id="3" name="Record Source" tableColumnId="3"/>
      <queryTableField id="4" name="Matched Record ID" tableColumnId="4"/>
      <queryTableField id="5" name="Matched Record Source" tableColumnId="5"/>
      <queryTableField id="6" name="Match Score" tableColumnId="6"/>
      <queryTableField id="7" name="Match Outcome" tableColumnId="7"/>
      <queryTableField id="8" name="Matched By" tableColumnId="8"/>
      <queryTableField id="9" name="Match Model Id" tableColumnId="9"/>
      <queryTableField id="10" name="Match Model Name" tableColumnId="10"/>
      <queryTableField id="11" name="Match Model Version" tableColumnId="11"/>
      <queryTableField id="12" name="Match Rule" tableColumnId="12"/>
      <queryTableField id="13" name="Population" tableColumnId="13"/>
      <queryTableField id="14" name="Description" tableColumnId="14"/>
      <queryTableField id="15" name="Match Criterion" tableColumnId="15"/>
      <queryTableField id="16" name="Record Address.addressLine1" tableColumnId="16"/>
      <queryTableField id="17" name="Matched Record Address.addressLine1" tableColumnId="17"/>
      <queryTableField id="18" name="Record Address.addressLine2" tableColumnId="18"/>
      <queryTableField id="19" name="Matched Record Address.addressLine2" tableColumnId="19"/>
      <queryTableField id="20" name="Record Address.city" tableColumnId="20"/>
      <queryTableField id="21" name="Matched Record Address.city" tableColumnId="21"/>
      <queryTableField id="22" name="Record Address.country" tableColumnId="22"/>
      <queryTableField id="23" name="Matched Record Address.country" tableColumnId="23"/>
      <queryTableField id="24" name="Record Address.countrySubdivision" tableColumnId="24"/>
      <queryTableField id="25" name="Matched Record Address.countrySubdivision" tableColumnId="25"/>
      <queryTableField id="26" name="Record Address.postalCode" tableColumnId="26"/>
      <queryTableField id="27" name="Matched Record Address.postalCode" tableColumnId="27"/>
      <queryTableField id="28" name="Record Address.rawCountrySubdivision" tableColumnId="28"/>
      <queryTableField id="29" name="Matched Record Address.rawCountrySubdivision" tableColumnId="29"/>
      <queryTableField id="30" name="Record AlternateName.alternateName" tableColumnId="30"/>
      <queryTableField id="31" name="Matched Record AlternateName.alternateName" tableColumnId="31"/>
      <queryTableField id="32" name="Record FamilyTreeRole.role" tableColumnId="32"/>
      <queryTableField id="33" name="Matched Record FamilyTreeRole.role" tableColumnId="33"/>
      <queryTableField id="34" name="Record duns" tableColumnId="34"/>
      <queryTableField id="35" name="Matched Record duns" tableColumnId="35"/>
      <queryTableField id="36" name="Record name" tableColumnId="36"/>
      <queryTableField id="37" name="Matched Record name" tableColumnId="37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8336DC-C0AA-4B57-9C10-3871347FBDB3}" name="match_pairs" displayName="match_pairs" ref="A1:AL2" tableType="queryTable" totalsRowShown="0" headerRowDxfId="58" dataDxfId="59" tableBorderDxfId="60">
  <autoFilter ref="A1:AL2" xr:uid="{308336DC-C0AA-4B57-9C10-3871347FBDB3}"/>
  <tableColumns count="38">
    <tableColumn id="38" xr3:uid="{8ED27169-BAE8-4659-8687-B4E39B8DE01A}" uniqueName="38" name="IsVisible" queryTableFieldId="38" dataDxfId="57">
      <calculatedColumnFormula>SUBTOTAL(103, match_pairs[[#This Row],[Column1]])</calculatedColumnFormula>
    </tableColumn>
    <tableColumn id="1" xr3:uid="{85B4367F-9075-4233-8DBB-D80C4D429139}" uniqueName="1" name="Column1" queryTableFieldId="1" dataDxfId="56"/>
    <tableColumn id="2" xr3:uid="{8C7BDF67-6B33-4D2F-91F8-3CC7741E17B4}" uniqueName="2" name="Column2" queryTableFieldId="2" dataDxfId="55"/>
    <tableColumn id="3" xr3:uid="{D3247E81-D4AA-4491-9CCA-45B55A08AB51}" uniqueName="3" name="Column3" queryTableFieldId="3" dataDxfId="54"/>
    <tableColumn id="4" xr3:uid="{26183184-BB9B-4B43-8EC7-CCAF0F9BB329}" uniqueName="4" name="Column4" queryTableFieldId="4" dataDxfId="53"/>
    <tableColumn id="5" xr3:uid="{790417D0-7BF2-4112-BADB-94FD83213377}" uniqueName="5" name="Column5" queryTableFieldId="5" dataDxfId="52"/>
    <tableColumn id="6" xr3:uid="{366A6DCF-A5CD-41D4-85F2-4ED9562EEA92}" uniqueName="6" name="Column6" queryTableFieldId="6" dataDxfId="51"/>
    <tableColumn id="7" xr3:uid="{03C79103-399D-4A60-86C8-FE6A6BC58226}" uniqueName="7" name="Column7" queryTableFieldId="7" dataDxfId="50"/>
    <tableColumn id="8" xr3:uid="{3F8CA540-2379-4D41-B4CD-3267EC73A306}" uniqueName="8" name="Column8" queryTableFieldId="8" dataDxfId="49"/>
    <tableColumn id="9" xr3:uid="{36490EDD-F87E-4D67-A1C1-F3A85A0C78D6}" uniqueName="9" name="Column9" queryTableFieldId="9" dataDxfId="48"/>
    <tableColumn id="10" xr3:uid="{6E2DBE0B-2698-48E0-B576-7D0E3C56916E}" uniqueName="10" name="Column10" queryTableFieldId="10" dataDxfId="47"/>
    <tableColumn id="11" xr3:uid="{9FAFE20D-4AF6-4DBA-9AFC-F6E1F540C7D7}" uniqueName="11" name="Column11" queryTableFieldId="11" dataDxfId="46"/>
    <tableColumn id="12" xr3:uid="{1D6F03F4-1430-4AF9-9395-1A18B9A1BC70}" uniqueName="12" name="Column12" queryTableFieldId="12" dataDxfId="45"/>
    <tableColumn id="13" xr3:uid="{22E9A4CE-9C09-4DEF-BC5C-A4A1CD176C86}" uniqueName="13" name="Column13" queryTableFieldId="13" dataDxfId="44"/>
    <tableColumn id="14" xr3:uid="{B8AD6B01-71F7-4FFD-BDBB-0228DFFD9FFA}" uniqueName="14" name="Column14" queryTableFieldId="14" dataDxfId="43"/>
    <tableColumn id="15" xr3:uid="{79F3294F-02A0-4CDC-84A7-427E93734FA6}" uniqueName="15" name="Column15" queryTableFieldId="15" dataDxfId="42"/>
    <tableColumn id="16" xr3:uid="{AB8ACD9A-F7CD-4AB8-9F8B-3ECD635BFE5F}" uniqueName="16" name="Column16" queryTableFieldId="16" dataDxfId="41"/>
    <tableColumn id="17" xr3:uid="{3B5BEE9C-38D7-415E-9C2E-E4EB51E0263B}" uniqueName="17" name="Column17" queryTableFieldId="17" dataDxfId="40"/>
    <tableColumn id="18" xr3:uid="{19A58E02-7280-43C9-B642-2111D4E751E8}" uniqueName="18" name="Column18" queryTableFieldId="18" dataDxfId="39"/>
    <tableColumn id="19" xr3:uid="{36E22134-1D26-4983-AF3E-0443839FE976}" uniqueName="19" name="Column19" queryTableFieldId="19" dataDxfId="38"/>
    <tableColumn id="20" xr3:uid="{D51B6A11-A984-46CA-850C-1F24B29BEEA7}" uniqueName="20" name="Column20" queryTableFieldId="20" dataDxfId="37"/>
    <tableColumn id="21" xr3:uid="{429A26F2-D68F-4C8E-8F2C-46651850C592}" uniqueName="21" name="Column21" queryTableFieldId="21" dataDxfId="36"/>
    <tableColumn id="22" xr3:uid="{79F43CA5-AC83-4706-B628-55101DFA8A71}" uniqueName="22" name="Column22" queryTableFieldId="22" dataDxfId="35"/>
    <tableColumn id="23" xr3:uid="{C55210C0-0482-40B9-97F7-F53DDD5A1B5D}" uniqueName="23" name="Column23" queryTableFieldId="23" dataDxfId="34"/>
    <tableColumn id="24" xr3:uid="{7036CEF7-693A-402B-B462-1DD8F5311F78}" uniqueName="24" name="Column24" queryTableFieldId="24" dataDxfId="33"/>
    <tableColumn id="25" xr3:uid="{8CE7A368-750F-4DEA-AF4B-5CFEB13ECCC0}" uniqueName="25" name="Column25" queryTableFieldId="25" dataDxfId="32"/>
    <tableColumn id="26" xr3:uid="{15E3B9AD-D751-4EF0-9C41-8D93267BF535}" uniqueName="26" name="Column26" queryTableFieldId="26" dataDxfId="31"/>
    <tableColumn id="27" xr3:uid="{6A81E384-F603-46E0-AD02-385151342B3E}" uniqueName="27" name="Column27" queryTableFieldId="27" dataDxfId="30"/>
    <tableColumn id="28" xr3:uid="{3F36129B-742F-478B-81C0-DD7F0105308D}" uniqueName="28" name="Column28" queryTableFieldId="28" dataDxfId="29"/>
    <tableColumn id="29" xr3:uid="{5AA3ECC4-76A0-4695-B8FA-AD7A2EBB8F71}" uniqueName="29" name="Column29" queryTableFieldId="29" dataDxfId="28"/>
    <tableColumn id="30" xr3:uid="{225D349F-5AEF-4352-A6F9-4A3F0B1640DB}" uniqueName="30" name="Column30" queryTableFieldId="30" dataDxfId="27"/>
    <tableColumn id="31" xr3:uid="{7FC0A8C0-3267-4BCC-AA2E-A3083D30CED6}" uniqueName="31" name="Column31" queryTableFieldId="31" dataDxfId="26"/>
    <tableColumn id="32" xr3:uid="{FF373107-1E4A-4913-BE79-215089ABB726}" uniqueName="32" name="Column32" queryTableFieldId="32" dataDxfId="25"/>
    <tableColumn id="33" xr3:uid="{C7C64213-3039-4163-AD94-FAA165D30E32}" uniqueName="33" name="Column33" queryTableFieldId="33" dataDxfId="24"/>
    <tableColumn id="34" xr3:uid="{1610FED8-69F8-481B-AB17-08F39AF005A9}" uniqueName="34" name="Column34" queryTableFieldId="34" dataDxfId="23"/>
    <tableColumn id="35" xr3:uid="{D1344F89-A97A-43A3-A19B-153977FB6E68}" uniqueName="35" name="Column35" queryTableFieldId="35" dataDxfId="22"/>
    <tableColumn id="36" xr3:uid="{5F84C64B-4442-4CB0-A27F-2E7C177619AE}" uniqueName="36" name="Column36" queryTableFieldId="36" dataDxfId="21"/>
    <tableColumn id="37" xr3:uid="{097BC496-D4D1-461B-B5C4-949DDFDFA343}" uniqueName="37" name="Column37" queryTableFieldId="37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AB0B3-01DF-43F6-BEC0-8BF7335C7287}">
  <dimension ref="A1:B3"/>
  <sheetViews>
    <sheetView workbookViewId="0"/>
  </sheetViews>
  <sheetFormatPr defaultRowHeight="14.4" x14ac:dyDescent="0.3"/>
  <cols>
    <col min="1" max="1" width="25.33203125" style="33" bestFit="1" customWidth="1"/>
    <col min="2" max="2" width="56.33203125" style="33" customWidth="1"/>
    <col min="3" max="16384" width="8.88671875" style="33"/>
  </cols>
  <sheetData>
    <row r="1" spans="1:2" ht="28.8" x14ac:dyDescent="0.55000000000000004">
      <c r="A1" s="32" t="s">
        <v>39</v>
      </c>
    </row>
    <row r="2" spans="1:2" ht="28.8" x14ac:dyDescent="0.55000000000000004">
      <c r="A2" s="32"/>
    </row>
    <row r="3" spans="1:2" x14ac:dyDescent="0.3">
      <c r="A3" s="34" t="s">
        <v>40</v>
      </c>
      <c r="B3" s="3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8927-64AA-4274-9CE8-35E00B78199A}">
  <dimension ref="B3:H14"/>
  <sheetViews>
    <sheetView workbookViewId="0">
      <selection activeCell="B19" sqref="B19"/>
    </sheetView>
  </sheetViews>
  <sheetFormatPr defaultRowHeight="14.4" x14ac:dyDescent="0.3"/>
  <cols>
    <col min="5" max="5" width="68.88671875" customWidth="1"/>
  </cols>
  <sheetData>
    <row r="3" spans="2:8" ht="21" x14ac:dyDescent="0.4">
      <c r="B3" s="1"/>
      <c r="C3" s="1"/>
      <c r="D3" s="3"/>
      <c r="E3" s="3"/>
      <c r="F3" s="2"/>
    </row>
    <row r="4" spans="2:8" x14ac:dyDescent="0.3">
      <c r="B4" s="4"/>
      <c r="C4" s="12"/>
      <c r="D4" s="5"/>
      <c r="E4" s="5"/>
      <c r="F4" s="6"/>
      <c r="G4" s="6"/>
      <c r="H4" s="6"/>
    </row>
    <row r="5" spans="2:8" x14ac:dyDescent="0.3">
      <c r="B5" s="7"/>
      <c r="C5" s="7"/>
      <c r="D5" s="7"/>
      <c r="E5" s="8"/>
      <c r="F5" s="7"/>
      <c r="G5" s="10"/>
      <c r="H5" s="11"/>
    </row>
    <row r="6" spans="2:8" x14ac:dyDescent="0.3">
      <c r="B6" s="7"/>
      <c r="C6" s="7"/>
      <c r="D6" s="7"/>
      <c r="E6" s="9"/>
      <c r="F6" s="7"/>
      <c r="G6" s="10"/>
      <c r="H6" s="11"/>
    </row>
    <row r="7" spans="2:8" x14ac:dyDescent="0.3">
      <c r="G7" s="20"/>
      <c r="H7" s="21"/>
    </row>
    <row r="10" spans="2:8" ht="21" x14ac:dyDescent="0.4">
      <c r="B10" s="1"/>
      <c r="C10" s="1"/>
      <c r="D10" s="3"/>
      <c r="E10" s="3"/>
      <c r="F10" s="2"/>
    </row>
    <row r="11" spans="2:8" x14ac:dyDescent="0.3">
      <c r="B11" s="4"/>
      <c r="C11" s="12"/>
      <c r="D11" s="5"/>
      <c r="E11" s="5"/>
      <c r="F11" s="6"/>
      <c r="G11" s="6"/>
      <c r="H11" s="6"/>
    </row>
    <row r="12" spans="2:8" x14ac:dyDescent="0.3">
      <c r="B12" s="7"/>
      <c r="C12" s="7"/>
      <c r="D12" s="7"/>
      <c r="E12" s="8"/>
      <c r="F12" s="7"/>
      <c r="G12" s="10"/>
      <c r="H12" s="11"/>
    </row>
    <row r="13" spans="2:8" x14ac:dyDescent="0.3">
      <c r="B13" s="7"/>
      <c r="C13" s="7"/>
      <c r="D13" s="7"/>
      <c r="E13" s="9"/>
      <c r="F13" s="7"/>
      <c r="G13" s="10"/>
      <c r="H13" s="11"/>
    </row>
    <row r="14" spans="2:8" x14ac:dyDescent="0.3">
      <c r="G14" s="20"/>
      <c r="H14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6"/>
  <sheetViews>
    <sheetView tabSelected="1" zoomScale="91" workbookViewId="0">
      <selection activeCell="D4" sqref="D4"/>
    </sheetView>
  </sheetViews>
  <sheetFormatPr defaultRowHeight="14.4" x14ac:dyDescent="0.3"/>
  <cols>
    <col min="1" max="1" width="3.109375" customWidth="1"/>
    <col min="2" max="2" width="3.88671875" customWidth="1"/>
    <col min="3" max="3" width="16.77734375" bestFit="1" customWidth="1"/>
    <col min="4" max="4" width="16.77734375" customWidth="1"/>
    <col min="5" max="5" width="10.109375" customWidth="1"/>
    <col min="6" max="6" width="50.44140625" customWidth="1"/>
    <col min="7" max="7" width="20" customWidth="1"/>
    <col min="8" max="8" width="10.109375" customWidth="1"/>
    <col min="9" max="9" width="6.44140625" customWidth="1"/>
  </cols>
  <sheetData>
    <row r="2" spans="3:9" ht="21" x14ac:dyDescent="0.4">
      <c r="C2" s="1" t="s">
        <v>5</v>
      </c>
      <c r="D2" s="1"/>
      <c r="E2" s="3" t="s">
        <v>1</v>
      </c>
      <c r="F2" s="3"/>
      <c r="G2" s="2"/>
    </row>
    <row r="3" spans="3:9" x14ac:dyDescent="0.3">
      <c r="C3" s="4" t="s">
        <v>4</v>
      </c>
      <c r="D3" s="12" t="s">
        <v>10</v>
      </c>
      <c r="E3" s="5" t="s">
        <v>8</v>
      </c>
      <c r="F3" s="5" t="s">
        <v>6</v>
      </c>
      <c r="G3" s="6" t="s">
        <v>7</v>
      </c>
      <c r="H3" s="6" t="s">
        <v>9</v>
      </c>
      <c r="I3" s="6" t="s">
        <v>0</v>
      </c>
    </row>
    <row r="4" spans="3:9" ht="28.8" customHeight="1" x14ac:dyDescent="0.3">
      <c r="C4" s="7" t="s">
        <v>2</v>
      </c>
      <c r="D4" s="7" cm="1">
        <f t="array" ref="D4:I4">_xlfn.LET(
    _xlpm._c1, "--- ОПРЕДЕЛЕНИЕ КОЛОНОК ---",
    _xlpm.outcome_col, match_pairs[Column7],
    _xlpm.rule_col,    match_pairs[Column12],
    _xlpm.desc_col,    match_pairs[Column14],
    _xlpm.crit_col,    match_pairs[Column15],
    _xlpm._c2, "--- ОБРАБОТКА ДАННЫХ ---",
    _xlpm.mod_outcome, _xlfn.SWITCH(_xlpm.outcome_col, "AUTO_MERGE", "Auto", "REVIEW", "Manual", _xlpm.outcome_col),
    _xlpm._c3, "--- Собираем таблицу для анализа (4 колонки) ---",
    _xlpm.source_range, _xlfn.HSTACK(_xlpm.mod_outcome, _xlpm.rule_col, _xlpm.desc_col, _xlpm.crit_col),
    _xlpm._c4, "--- Получаем уникальные строки и сортируем ---",
    _xlpm.sorted_unique, _xlfn._xlws.SORT(_xlfn.UNIQUE(_xlpm.source_range)),
    _xlpm._c5, "--- Берем 2-ю колонку из уникальных (это Match Rule) для подсчета ---",
    _xlpm.keys_to_count, _xlfn.CHOOSECOLS(_xlpm.sorted_unique, 2),
    _xlpm._c6, "--- Считаем сколько раз каждое правило встречается в исходной колонке Rule ---",
    _xlpm.counts, COUNTIF(_xlpm.rule_col, _xlpm.keys_to_count),
    _xlpm._c7, "--- Общее количество строк (берем по любой колонке, например Rule) ---",
    _xlpm.total_records, COUNTA(_xlpm.rule_col),
    _xlpm.percentages, _xlpm.counts / _xlpm.total_records,
    _xlpm._c8, "--- ФИНАЛЬНЫЙ ВЫВОД ---",
    _xlfn.HSTACK(_xlpm.sorted_unique, _xlpm.counts, _xlpm.percentages)
)</f>
        <v>0</v>
      </c>
      <c r="E4" s="7">
        <v>0</v>
      </c>
      <c r="F4" s="8">
        <v>0</v>
      </c>
      <c r="G4" s="7">
        <v>0</v>
      </c>
      <c r="H4" s="10">
        <v>0</v>
      </c>
      <c r="I4" s="11" t="e">
        <v>#DIV/0!</v>
      </c>
    </row>
    <row r="5" spans="3:9" x14ac:dyDescent="0.3">
      <c r="C5" s="7" t="s">
        <v>3</v>
      </c>
      <c r="D5" s="7"/>
      <c r="E5" s="7"/>
      <c r="F5" s="9"/>
      <c r="G5" s="7"/>
      <c r="H5" s="10"/>
      <c r="I5" s="11"/>
    </row>
    <row r="6" spans="3:9" x14ac:dyDescent="0.3">
      <c r="H6" s="20">
        <f>SUM(H4:H5)</f>
        <v>0</v>
      </c>
      <c r="I6" s="21" t="e">
        <f>SUM(I4:I5)</f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82728-1839-4EEA-B4A6-A74BD431DDD1}">
  <dimension ref="A1:BW2"/>
  <sheetViews>
    <sheetView workbookViewId="0">
      <selection activeCell="C17" sqref="C17"/>
    </sheetView>
  </sheetViews>
  <sheetFormatPr defaultColWidth="35.44140625" defaultRowHeight="14.4" x14ac:dyDescent="0.3"/>
  <cols>
    <col min="1" max="1" width="10" bestFit="1" customWidth="1"/>
    <col min="2" max="2" width="7.88671875" bestFit="1" customWidth="1"/>
    <col min="3" max="3" width="22" bestFit="1" customWidth="1"/>
    <col min="4" max="4" width="15.44140625" bestFit="1" customWidth="1"/>
    <col min="5" max="5" width="22" bestFit="1" customWidth="1"/>
    <col min="6" max="6" width="23.6640625" bestFit="1" customWidth="1"/>
    <col min="7" max="7" width="13.77734375" bestFit="1" customWidth="1"/>
    <col min="8" max="8" width="17" bestFit="1" customWidth="1"/>
    <col min="9" max="9" width="13.33203125" bestFit="1" customWidth="1"/>
    <col min="10" max="10" width="35" bestFit="1" customWidth="1"/>
    <col min="11" max="11" width="20.21875" bestFit="1" customWidth="1"/>
    <col min="12" max="12" width="21.5546875" bestFit="1" customWidth="1"/>
    <col min="13" max="13" width="12.77734375" bestFit="1" customWidth="1"/>
    <col min="14" max="14" width="12.44140625" bestFit="1" customWidth="1"/>
    <col min="15" max="15" width="75.21875" bestFit="1" customWidth="1"/>
    <col min="16" max="16" width="16.44140625" bestFit="1" customWidth="1"/>
    <col min="17" max="22" width="80.88671875" bestFit="1" customWidth="1"/>
    <col min="23" max="23" width="23.6640625" bestFit="1" customWidth="1"/>
    <col min="24" max="24" width="31.88671875" bestFit="1" customWidth="1"/>
    <col min="25" max="25" width="33.5546875" bestFit="1" customWidth="1"/>
    <col min="26" max="26" width="41.77734375" bestFit="1" customWidth="1"/>
    <col min="27" max="27" width="35.77734375" bestFit="1" customWidth="1"/>
    <col min="28" max="28" width="51.109375" bestFit="1" customWidth="1"/>
    <col min="29" max="29" width="37" bestFit="1" customWidth="1"/>
    <col min="30" max="30" width="45.21875" bestFit="1" customWidth="1"/>
    <col min="31" max="32" width="80.88671875" bestFit="1" customWidth="1"/>
    <col min="33" max="33" width="26.44140625" bestFit="1" customWidth="1"/>
    <col min="34" max="34" width="34.6640625" bestFit="1" customWidth="1"/>
    <col min="35" max="35" width="13.6640625" bestFit="1" customWidth="1"/>
    <col min="36" max="36" width="21.88671875" bestFit="1" customWidth="1"/>
    <col min="37" max="39" width="80.88671875" bestFit="1" customWidth="1"/>
    <col min="40" max="40" width="6" bestFit="1" customWidth="1"/>
    <col min="41" max="41" width="26.5546875" bestFit="1" customWidth="1"/>
    <col min="42" max="42" width="17.6640625" bestFit="1" customWidth="1"/>
    <col min="43" max="43" width="22" bestFit="1" customWidth="1"/>
    <col min="44" max="44" width="21.44140625" bestFit="1" customWidth="1"/>
    <col min="45" max="45" width="11.5546875" bestFit="1" customWidth="1"/>
    <col min="46" max="46" width="14.77734375" bestFit="1" customWidth="1"/>
    <col min="47" max="47" width="11.109375" bestFit="1" customWidth="1"/>
    <col min="48" max="48" width="35" bestFit="1" customWidth="1"/>
    <col min="49" max="49" width="19.21875" bestFit="1" customWidth="1"/>
    <col min="50" max="50" width="19.33203125" bestFit="1" customWidth="1"/>
    <col min="51" max="51" width="10.5546875" bestFit="1" customWidth="1"/>
    <col min="52" max="52" width="69.109375" customWidth="1"/>
    <col min="53" max="53" width="33.44140625" customWidth="1"/>
    <col min="54" max="54" width="69.88671875" customWidth="1"/>
    <col min="55" max="55" width="69" customWidth="1"/>
    <col min="56" max="60" width="80.88671875" bestFit="1" customWidth="1"/>
    <col min="61" max="62" width="29.77734375" bestFit="1" customWidth="1"/>
    <col min="63" max="63" width="36.77734375" bestFit="1" customWidth="1"/>
    <col min="64" max="64" width="39.5546875" bestFit="1" customWidth="1"/>
    <col min="65" max="65" width="56.21875" bestFit="1" customWidth="1"/>
    <col min="66" max="66" width="51.109375" bestFit="1" customWidth="1"/>
    <col min="67" max="67" width="34.77734375" bestFit="1" customWidth="1"/>
    <col min="68" max="68" width="43" bestFit="1" customWidth="1"/>
    <col min="69" max="70" width="80.88671875" bestFit="1" customWidth="1"/>
    <col min="71" max="71" width="24.21875" bestFit="1" customWidth="1"/>
    <col min="72" max="72" width="32.44140625" bestFit="1" customWidth="1"/>
    <col min="73" max="73" width="11.44140625" bestFit="1" customWidth="1"/>
    <col min="74" max="74" width="19.6640625" bestFit="1" customWidth="1"/>
    <col min="75" max="76" width="80.88671875" customWidth="1"/>
  </cols>
  <sheetData>
    <row r="1" spans="1:75" x14ac:dyDescent="0.3">
      <c r="A1" s="29" t="s">
        <v>31</v>
      </c>
      <c r="B1" s="29" t="s">
        <v>37</v>
      </c>
      <c r="C1" s="29" t="s">
        <v>38</v>
      </c>
      <c r="D1" s="29" t="s">
        <v>41</v>
      </c>
      <c r="E1" s="29" t="s">
        <v>42</v>
      </c>
      <c r="F1" s="29" t="s">
        <v>43</v>
      </c>
      <c r="G1" s="29" t="s">
        <v>44</v>
      </c>
      <c r="H1" s="29" t="s">
        <v>45</v>
      </c>
      <c r="I1" s="29" t="s">
        <v>46</v>
      </c>
      <c r="J1" s="29" t="s">
        <v>47</v>
      </c>
      <c r="K1" s="29" t="s">
        <v>48</v>
      </c>
      <c r="L1" s="29" t="s">
        <v>49</v>
      </c>
      <c r="M1" s="29" t="s">
        <v>50</v>
      </c>
      <c r="N1" s="29" t="s">
        <v>51</v>
      </c>
      <c r="O1" s="29" t="s">
        <v>52</v>
      </c>
      <c r="P1" s="29" t="s">
        <v>53</v>
      </c>
      <c r="Q1" s="29" t="s">
        <v>54</v>
      </c>
      <c r="R1" s="29" t="s">
        <v>55</v>
      </c>
      <c r="S1" s="29" t="s">
        <v>56</v>
      </c>
      <c r="T1" s="29" t="s">
        <v>57</v>
      </c>
      <c r="U1" s="29" t="s">
        <v>58</v>
      </c>
      <c r="V1" s="29" t="s">
        <v>59</v>
      </c>
      <c r="W1" s="29" t="s">
        <v>60</v>
      </c>
      <c r="X1" s="29" t="s">
        <v>61</v>
      </c>
      <c r="Y1" s="29" t="s">
        <v>62</v>
      </c>
      <c r="Z1" s="29" t="s">
        <v>63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9" t="s">
        <v>70</v>
      </c>
      <c r="AH1" s="29" t="s">
        <v>71</v>
      </c>
      <c r="AI1" s="29" t="s">
        <v>72</v>
      </c>
      <c r="AJ1" s="29" t="s">
        <v>73</v>
      </c>
      <c r="AK1" s="29" t="s">
        <v>74</v>
      </c>
      <c r="AL1" s="29" t="s">
        <v>75</v>
      </c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5"/>
    </row>
    <row r="2" spans="1:75" x14ac:dyDescent="0.3">
      <c r="A2" s="23">
        <f>SUBTOTAL(103, match_pairs[[#This Row],[Column1]])</f>
        <v>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26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8"/>
    </row>
  </sheetData>
  <phoneticPr fontId="20" type="noConversion"/>
  <conditionalFormatting sqref="AW1:AX2 AM3:AM1048576 BN3:BU1048576">
    <cfRule type="expression" dxfId="19" priority="48">
      <formula>LEFT(AO$1, LEN("Matched Record"))="Matched Record"</formula>
    </cfRule>
  </conditionalFormatting>
  <conditionalFormatting sqref="AN1:AV1 AZ1:BL1 BP1:BV1 BY1:XFD1">
    <cfRule type="expression" dxfId="18" priority="36">
      <formula>LEFT(AO$1, LEN("Matched Record"))="Matched Record"</formula>
    </cfRule>
  </conditionalFormatting>
  <conditionalFormatting sqref="AZ1:BL2 BP1:BV2 BY1:XFD2 AN1:AV2 AN3:AN1048576">
    <cfRule type="expression" dxfId="17" priority="51">
      <formula>LEFT(AO$1, LEN("Matched Record"))="Matched Record"</formula>
    </cfRule>
  </conditionalFormatting>
  <conditionalFormatting sqref="AO3:BM1048576">
    <cfRule type="expression" dxfId="16" priority="13">
      <formula>LEFT(AO$1, LEN("Matched Record"))="Matched Record"</formula>
    </cfRule>
  </conditionalFormatting>
  <conditionalFormatting sqref="BW1">
    <cfRule type="expression" dxfId="15" priority="45">
      <formula>LEFT(BX$1, LEN("Matched Record"))="Matched Record"</formula>
    </cfRule>
  </conditionalFormatting>
  <conditionalFormatting sqref="BV3:BX1048576">
    <cfRule type="expression" dxfId="14" priority="50">
      <formula>LEFT(AM$1, LEN("Matched Record"))="Matched Record"</formula>
    </cfRule>
  </conditionalFormatting>
  <conditionalFormatting sqref="BW1:BW2">
    <cfRule type="expression" dxfId="13" priority="54">
      <formula>LEFT(BX$1, LEN("Matched Record"))="Matched Record"</formula>
    </cfRule>
  </conditionalFormatting>
  <conditionalFormatting sqref="AW1:AX1">
    <cfRule type="expression" dxfId="12" priority="58">
      <formula>LEFT(AY$1, LEN("Matched Record"))="Matched Record"</formula>
    </cfRule>
  </conditionalFormatting>
  <conditionalFormatting sqref="AY1">
    <cfRule type="expression" dxfId="11" priority="64">
      <formula>LEFT(AX$1, LEN("Matched Record"))="Matched Record"</formula>
    </cfRule>
  </conditionalFormatting>
  <conditionalFormatting sqref="AY1:AY2 BY3:XFD1048576">
    <cfRule type="expression" dxfId="10" priority="68">
      <formula>LEFT(AX$1, LEN("Matched Record"))="Matched Record"</formula>
    </cfRule>
  </conditionalFormatting>
  <conditionalFormatting sqref="BN1:BO1">
    <cfRule type="expression" dxfId="9" priority="77">
      <formula>LEFT(BY$1, LEN("Matched Record"))="Matched Record"</formula>
    </cfRule>
  </conditionalFormatting>
  <conditionalFormatting sqref="BN1:BO2">
    <cfRule type="expression" dxfId="8" priority="79">
      <formula>LEFT(BY$1, LEN("Matched Record"))="Matched Record"</formula>
    </cfRule>
  </conditionalFormatting>
  <conditionalFormatting sqref="BM1:BO2">
    <cfRule type="expression" dxfId="7" priority="83">
      <formula>LEFT(BP$1, LEN("Matched Record"))="Matched Record"</formula>
    </cfRule>
  </conditionalFormatting>
  <conditionalFormatting sqref="BM1:BO1">
    <cfRule type="expression" dxfId="6" priority="86">
      <formula>LEFT(BP$1, LEN("Matched Record"))="Matched Record"</formula>
    </cfRule>
  </conditionalFormatting>
  <conditionalFormatting sqref="D3:AL1048576">
    <cfRule type="expression" dxfId="5" priority="90">
      <formula>LEFT(AP$1, LEN("Matched Record"))="Matched Record"</formula>
    </cfRule>
  </conditionalFormatting>
  <conditionalFormatting sqref="B3:B1048576">
    <cfRule type="expression" dxfId="4" priority="92">
      <formula>LEFT(AO$1, LEN("Matched Record"))="Matched Record"</formula>
    </cfRule>
  </conditionalFormatting>
  <conditionalFormatting sqref="A3:A1048576">
    <cfRule type="expression" dxfId="3" priority="98">
      <formula>LEFT(AP$1, LEN("Matched Record"))="Matched Record"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E92D5-4F3F-4286-940B-27C8BF2A41D9}">
  <dimension ref="A1:C30"/>
  <sheetViews>
    <sheetView workbookViewId="0">
      <selection activeCell="C5" sqref="C5"/>
    </sheetView>
  </sheetViews>
  <sheetFormatPr defaultRowHeight="14.4" x14ac:dyDescent="0.3"/>
  <cols>
    <col min="1" max="1" width="30" customWidth="1"/>
    <col min="2" max="3" width="43.44140625" bestFit="1" customWidth="1"/>
    <col min="4" max="4" width="7.5546875" bestFit="1" customWidth="1"/>
  </cols>
  <sheetData>
    <row r="1" spans="1:3" x14ac:dyDescent="0.3">
      <c r="B1" s="14" t="s">
        <v>23</v>
      </c>
      <c r="C1" s="14" t="s">
        <v>24</v>
      </c>
    </row>
    <row r="2" spans="1:3" x14ac:dyDescent="0.3">
      <c r="A2" s="16" t="s">
        <v>34</v>
      </c>
    </row>
    <row r="3" spans="1:3" x14ac:dyDescent="0.3">
      <c r="A3" s="16" t="s">
        <v>27</v>
      </c>
      <c r="B3" t="s">
        <v>36</v>
      </c>
    </row>
    <row r="4" spans="1:3" x14ac:dyDescent="0.3">
      <c r="A4" s="16" t="s">
        <v>35</v>
      </c>
      <c r="B4" s="15" t="str" cm="1">
        <f t="array" ref="B4">_xlfn.LET(
   _xlpm.item_number, $C$4,
   _xlpm.source_list,_xlfn.ANCHORARRAY( PairIndex),
   _xlpm.real_index,  MIN(_xlpm.item_number, ROWS(_xlpm.source_list)),
   INDEX(_xlpm.source_list, _xlpm.real_index)
)</f>
        <v>Нет данных</v>
      </c>
      <c r="C4" s="19">
        <v>1</v>
      </c>
    </row>
    <row r="5" spans="1:3" ht="18" x14ac:dyDescent="0.35">
      <c r="A5" s="17" t="s">
        <v>11</v>
      </c>
    </row>
    <row r="6" spans="1:3" x14ac:dyDescent="0.3">
      <c r="A6" s="16" t="s">
        <v>12</v>
      </c>
      <c r="B6" s="15" t="e" cm="1">
        <f t="array" ref="B6">INDEX(match_pairs[Column9], $B$4)</f>
        <v>#VALUE!</v>
      </c>
    </row>
    <row r="7" spans="1:3" x14ac:dyDescent="0.3">
      <c r="A7" s="16" t="s">
        <v>13</v>
      </c>
      <c r="B7" s="15" t="e" cm="1">
        <f t="array" ref="B7">INDEX(match_pairs[Column10], $B$4)</f>
        <v>#VALUE!</v>
      </c>
    </row>
    <row r="8" spans="1:3" x14ac:dyDescent="0.3">
      <c r="A8" s="16" t="s">
        <v>14</v>
      </c>
      <c r="B8" s="15" t="e" cm="1">
        <f t="array" ref="B8">INDEX(match_pairs[Column11], $B$4)</f>
        <v>#VALUE!</v>
      </c>
    </row>
    <row r="9" spans="1:3" x14ac:dyDescent="0.3">
      <c r="A9" s="16" t="s">
        <v>15</v>
      </c>
      <c r="B9" s="15" t="e" cm="1">
        <f t="array" ref="B9">INDEX(match_pairs[Column13], $B$4)</f>
        <v>#VALUE!</v>
      </c>
    </row>
    <row r="10" spans="1:3" ht="18" x14ac:dyDescent="0.35">
      <c r="A10" s="17" t="s">
        <v>16</v>
      </c>
    </row>
    <row r="11" spans="1:3" x14ac:dyDescent="0.3">
      <c r="A11" s="16" t="s">
        <v>17</v>
      </c>
      <c r="B11" s="15" t="e" cm="1">
        <f t="array" ref="B11">INDEX(match_pairs[Column12], $B$4)</f>
        <v>#VALUE!</v>
      </c>
    </row>
    <row r="12" spans="1:3" ht="31.8" customHeight="1" x14ac:dyDescent="0.3">
      <c r="A12" s="18" t="s">
        <v>18</v>
      </c>
      <c r="B12" s="22" t="e" cm="1">
        <f t="array" ref="B12">INDEX(match_pairs[Column14], $B$4)</f>
        <v>#VALUE!</v>
      </c>
      <c r="C12" s="22"/>
    </row>
    <row r="13" spans="1:3" x14ac:dyDescent="0.3">
      <c r="A13" s="16" t="s">
        <v>19</v>
      </c>
      <c r="B13" s="15" t="e" cm="1">
        <f t="array" ref="B13">INDEX('Match Pairs'!$BA$2:$BA$2, $B$4)</f>
        <v>#VALUE!</v>
      </c>
    </row>
    <row r="14" spans="1:3" x14ac:dyDescent="0.3">
      <c r="A14" s="16" t="s">
        <v>20</v>
      </c>
      <c r="B14" s="15" t="e" cm="1">
        <f t="array" ref="B14">INDEX(match_pairs[Column6], $B$4)</f>
        <v>#VALUE!</v>
      </c>
    </row>
    <row r="15" spans="1:3" x14ac:dyDescent="0.3">
      <c r="A15" s="16" t="s">
        <v>21</v>
      </c>
      <c r="B15" s="15" t="e" cm="1">
        <f t="array" ref="B15">INDEX(match_pairs[Column7], $B$4)</f>
        <v>#VALUE!</v>
      </c>
    </row>
    <row r="16" spans="1:3" x14ac:dyDescent="0.3">
      <c r="A16" s="16" t="s">
        <v>22</v>
      </c>
      <c r="B16" s="15" t="e" cm="1">
        <f t="array" ref="B16">INDEX(match_pairs[Column8], $B$4)</f>
        <v>#VALUE!</v>
      </c>
    </row>
    <row r="18" spans="1:3" x14ac:dyDescent="0.3">
      <c r="A18" s="14" t="s">
        <v>26</v>
      </c>
      <c r="B18" s="14" t="s">
        <v>23</v>
      </c>
      <c r="C18" s="14" t="s">
        <v>24</v>
      </c>
    </row>
    <row r="19" spans="1:3" x14ac:dyDescent="0.3">
      <c r="A19" s="13" t="s">
        <v>34</v>
      </c>
      <c r="B19" t="e" cm="1">
        <f t="array" ref="B19">INDEX(match_pairs[Column2], $B$4)</f>
        <v>#VALUE!</v>
      </c>
      <c r="C19" t="e" cm="1">
        <f t="array" ref="C19">INDEX(match_pairs[Column4], $B$4)</f>
        <v>#VALUE!</v>
      </c>
    </row>
    <row r="20" spans="1:3" x14ac:dyDescent="0.3">
      <c r="A20" s="13" t="s">
        <v>25</v>
      </c>
      <c r="B20" t="e" cm="1">
        <f t="array" ref="B20">INDEX(match_pairs[Column3], $B$4)</f>
        <v>#VALUE!</v>
      </c>
      <c r="C20" t="e" cm="1">
        <f t="array" ref="C20">INDEX(match_pairs[Column5], $B$4)</f>
        <v>#VALUE!</v>
      </c>
    </row>
    <row r="21" spans="1:3" x14ac:dyDescent="0.3">
      <c r="A21" s="13" t="e" cm="1">
        <f t="array" ref="A21">TRANSPOSE(_xlfn.LET(
    _xlpm.headers, match_pairs[#Headers],
    _xlpm.start_col, COLUMN(INDEX(_xlpm.headers, 1, MATCH("Match Criterion", _xlpm.headers, 0))) + 1,
    _xlpm.all_dynamic_headers, _xlfn.DROP(_xlpm.headers, , _xlpm.start_col - 1),
    _xlpm.count_cols, COLUMNS(_xlpm.all_dynamic_headers),
    _xlpm.seq, _xlfn.SEQUENCE(1, _xlpm.count_cols/2, 1, 2),
    _xlpm.raw_names, INDEX(_xlpm.all_dynamic_headers, 1, _xlpm.seq),
    SUBSTITUTE(_xlpm.raw_names, "Record ", "")
))</f>
        <v>#N/A</v>
      </c>
      <c r="B21" t="e" cm="1">
        <f t="array" ref="B21">_xlfn.LET(
    _xlpm.lastFixedColName, "Match Criterion",
    _xlpm.rowIndex, $B$4,
    _xlpm.headers, match_pairs[#Headers],
    _xlpm.start_col, COLUMN(INDEX(_xlpm.headers, 1, MATCH(_xlpm.lastFixedColName, _xlpm.headers, 0))) + 1,
    _xlpm.target_data, INDEX(match_pairs[], _xlpm.rowIndex, 0),
    _xlpm.dynamic_data, _xlfn.DROP(_xlpm.target_data, , _xlpm.start_col - 1),
    _xlpm.count_cols, COLUMNS(_xlpm.dynamic_data),
    _xlpm.seq, _xlfn.SEQUENCE(_xlpm.count_cols/2, 1, 1, 2),
    INDEX(_xlpm.dynamic_data, 1, _xlpm.seq)
)</f>
        <v>#VALUE!</v>
      </c>
      <c r="C21" t="e" cm="1">
        <f t="array" ref="C21">_xlfn.LET(
    _xlpm.lastFixedColName, "Match Criterion",
    _xlpm.rowIndex, $B$4,
    _xlpm.headers, match_pairs[#Headers],
    _xlpm.start_col, COLUMN(INDEX(_xlpm.headers, 1, MATCH(_xlpm.lastFixedColName, _xlpm.headers, 0))) + 1,
    _xlpm.target_data, INDEX(match_pairs[], _xlpm.rowIndex, 0),
    _xlpm.dynamic_data, _xlfn.DROP(_xlpm.target_data, , _xlpm.start_col - 1),
    _xlpm.count_cols, COLUMNS(_xlpm.dynamic_data),
    _xlpm.seq, _xlfn.SEQUENCE(_xlpm.count_cols/2, 1, 2, 2),
    INDEX(_xlpm.dynamic_data, 1, _xlpm.seq)
)</f>
        <v>#VALUE!</v>
      </c>
    </row>
    <row r="22" spans="1:3" x14ac:dyDescent="0.3">
      <c r="A22" s="13"/>
    </row>
    <row r="23" spans="1:3" x14ac:dyDescent="0.3">
      <c r="A23" s="13"/>
    </row>
    <row r="24" spans="1:3" x14ac:dyDescent="0.3">
      <c r="A24" s="13"/>
    </row>
    <row r="25" spans="1:3" x14ac:dyDescent="0.3">
      <c r="A25" s="13"/>
    </row>
    <row r="26" spans="1:3" x14ac:dyDescent="0.3">
      <c r="A26" s="13"/>
    </row>
    <row r="27" spans="1:3" x14ac:dyDescent="0.3">
      <c r="A27" s="13"/>
    </row>
    <row r="28" spans="1:3" x14ac:dyDescent="0.3">
      <c r="A28" s="13"/>
    </row>
    <row r="29" spans="1:3" x14ac:dyDescent="0.3">
      <c r="A29" s="13"/>
    </row>
    <row r="30" spans="1:3" x14ac:dyDescent="0.3">
      <c r="A30" s="13"/>
    </row>
  </sheetData>
  <autoFilter ref="A18:C30" xr:uid="{EF2E92D5-4F3F-4286-940B-27C8BF2A41D9}"/>
  <mergeCells count="1">
    <mergeCell ref="B12:C12"/>
  </mergeCells>
  <conditionalFormatting sqref="A19">
    <cfRule type="cellIs" priority="4" operator="notEqual">
      <formula>""""""</formula>
    </cfRule>
  </conditionalFormatting>
  <conditionalFormatting sqref="A19:C49">
    <cfRule type="expression" dxfId="2" priority="1">
      <formula>AND($B19&lt;&gt;$C19, OR($B19&lt;&gt;"", $C19&lt;&gt;""))</formula>
    </cfRule>
    <cfRule type="expression" dxfId="1" priority="2">
      <formula>AND($B19=$C19, $B19&lt;&gt;"")</formula>
    </cfRule>
    <cfRule type="expression" dxfId="0" priority="3">
      <formula>AND($A19&lt;&gt;"",$B19="", $C19="")</formula>
    </cfRule>
  </conditionalFormatting>
  <dataValidations disablePrompts="1" count="3">
    <dataValidation type="list" allowBlank="1" showInputMessage="1" showErrorMessage="1" sqref="B3" xr:uid="{180C0C11-B1E9-4384-81B6-18E1F53081B4}">
      <formula1>_xlfn.ANCHORARRAY(MatchOutcome)</formula1>
    </dataValidation>
    <dataValidation type="list" allowBlank="1" showInputMessage="1" showErrorMessage="1" sqref="B2" xr:uid="{CB298501-3D53-4EF2-82D5-23DD9A199A93}">
      <formula1>_xlfn.ANCHORARRAY(Record1List)</formula1>
    </dataValidation>
    <dataValidation type="list" allowBlank="1" showInputMessage="1" showErrorMessage="1" sqref="C2" xr:uid="{5157C654-574F-4876-A7C5-429FB780DA68}">
      <formula1>_xlfn.ANCHORARRAY(Record2List)</formula1>
    </dataValidation>
  </dataValidation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10" r:id="rId4" name="Spinner 14">
              <controlPr defaultSize="0" autoPict="0">
                <anchor moveWithCells="1" sizeWithCells="1">
                  <from>
                    <xdr:col>2</xdr:col>
                    <xdr:colOff>114300</xdr:colOff>
                    <xdr:row>2</xdr:row>
                    <xdr:rowOff>106680</xdr:rowOff>
                  </from>
                  <to>
                    <xdr:col>2</xdr:col>
                    <xdr:colOff>365760</xdr:colOff>
                    <xdr:row>4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1822F-C9FB-4E16-B699-766A8F5F5908}">
  <dimension ref="A1:G3"/>
  <sheetViews>
    <sheetView workbookViewId="0">
      <selection activeCell="C13" sqref="C13"/>
    </sheetView>
  </sheetViews>
  <sheetFormatPr defaultRowHeight="14.4" x14ac:dyDescent="0.3"/>
  <cols>
    <col min="1" max="1" width="27.21875" customWidth="1"/>
    <col min="2" max="2" width="13" customWidth="1"/>
    <col min="6" max="6" width="25.109375" customWidth="1"/>
    <col min="7" max="7" width="11.44140625" bestFit="1" customWidth="1"/>
  </cols>
  <sheetData>
    <row r="1" spans="1:7" x14ac:dyDescent="0.3">
      <c r="A1" s="13" t="s">
        <v>28</v>
      </c>
      <c r="B1" s="13" t="s">
        <v>29</v>
      </c>
      <c r="C1" s="13"/>
      <c r="D1" s="13" t="s">
        <v>30</v>
      </c>
      <c r="F1" s="13" t="s">
        <v>32</v>
      </c>
      <c r="G1" s="13" t="s">
        <v>33</v>
      </c>
    </row>
    <row r="2" spans="1:7" x14ac:dyDescent="0.3">
      <c r="A2" t="str" cm="1">
        <f t="array" aca="1" ref="A2" ca="1">LEFT(CELL("filename",Metrics!$A$1),FIND("[",CELL("filename",Metrics!$A$1),1)-1)</f>
        <v>C:\Tools\IDMC MatchReport\</v>
      </c>
      <c r="B2" t="str" cm="1">
        <f t="array" ref="B2:B3">_xlfn.VSTACK("All", _xlfn._xlws.SORT(_xlfn.UNIQUE(match_pairs[Column7])))</f>
        <v>All</v>
      </c>
      <c r="D2" t="str" cm="1">
        <f t="array" ref="D2">_xlfn.LET(
   _xlpm._c1, "--- 1. СЧИТЫВАЕМ ФИЛЬТРЫ С ЛИСТА ---",
   _xlpm.sel_status, 'Comparison by fields'!$B$3,
   _xlpm.sel_rec1,   'Comparison by fields'!$B$2,
   _xlpm.sel_rec2,   'Comparison by fields'!$C$2,
   _xlpm._c2, "--- 2. ССЫЛКИ НА СТОЛБЦЫ ТАБЛИЦЫ ---",
   _xlpm.col_index,    match_pairs[Column1],
   _xlpm.col_outcome,  match_pairs[Column7],
   _xlpm.col_rec1_id,  match_pairs[Column2],
   _xlpm.col_rec2_id,  match_pairs[Column4],
   _xlpm.col_visible,  match_pairs[IsVisible],
   _xlpm._c3, "--- 3. ЛОГИКА (Если пусто - берем всё/1, иначе - ищем) ---",
   _xlpm.cond_status, IF(OR(_xlpm.sel_status="All", _xlpm.sel_status=""), 1, _xlpm.col_outcome = _xlpm.sel_status),
   _xlpm.cond_rec1,   IF(_xlpm.sel_rec1="", 1, _xlpm.col_rec1_id = _xlpm.sel_rec1),
   _xlpm.cond_rec2,   IF(_xlpm.sel_rec2="", 1, _xlpm.col_rec2_id = _xlpm.sel_rec2),
   _xlpm.cond_vis,    (_xlpm.col_visible=1),
   _xlpm._c4, "--- 4. ФИНАЛЬНЫЙ РАСЧЕТ ---",
   _xlpm.filtered_data, _xlfn._xlws.FILTER(_xlpm.col_index, _xlpm.cond_status * _xlpm.cond_rec1 * _xlpm.cond_rec2 * _xlpm.cond_vis, "Нет данных"),
   _xlfn._xlws.SORT(_xlfn.UNIQUE(_xlpm.filtered_data))
)</f>
        <v>Нет данных</v>
      </c>
      <c r="F2" t="e" cm="1" vm="1">
        <f t="array" ref="F2">_xlfn._xlws.SORT(_xlfn.UNIQUE(_xlfn._xlws.FILTER(match_pairs[Column2], match_pairs[IsVisible]=1)))</f>
        <v>#VALUE!</v>
      </c>
      <c r="G2" t="str" cm="1">
        <f t="array" ref="G2">_xlfn.LET(
   _xlpm._c1, "--- ВВОДНЫЕ ДАННЫЕ --- Значение выбранного Record 1 ---",
   _xlpm.sel_rec1, 'Comparison by fields'!$B$2,
   _xlpm._c2, "--- СТОЛБЦЫ ТАБЛИЦЫ ---",
   _xlpm.col_target,   match_pairs[Column4],
   _xlpm.col_filter,   match_pairs[Column2],
   _xlpm.col_visible,  match_pairs[IsVisible],
   _xlpm._c3, "--- ЛОГИКА ФИЛЬТРАЦИИ ---",
   _xlpm.cond_rec1, IF(_xlpm.sel_rec1="", 1, _xlpm.col_filter = _xlpm.sel_rec1),
   _xlpm.cond_vis,  (_xlpm.col_visible=1),
   _xlpm._c4, "--- ФИНАЛЬНЫЙ РАСЧЕТ ---",
   _xlpm.filtered_data, _xlfn._xlws.FILTER(_xlpm.col_target, _xlpm.cond_rec1 * _xlpm.cond_vis, "Нет связанных записей"),
   _xlfn._xlws.SORT(_xlfn.UNIQUE(_xlpm.filtered_data))
)</f>
        <v>Нет связанных записей</v>
      </c>
    </row>
    <row r="3" spans="1:7" x14ac:dyDescent="0.3">
      <c r="B3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2B4C52-AC01-4020-8795-5CC418C8A0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Config</vt:lpstr>
      <vt:lpstr>Analysis</vt:lpstr>
      <vt:lpstr>Metrics</vt:lpstr>
      <vt:lpstr>Match Pairs</vt:lpstr>
      <vt:lpstr>Comparison by fields</vt:lpstr>
      <vt:lpstr>Service</vt:lpstr>
      <vt:lpstr>csvFilePath</vt:lpstr>
      <vt:lpstr>FilePath</vt:lpstr>
      <vt:lpstr>MatchOutcome</vt:lpstr>
      <vt:lpstr>PairIndex</vt:lpstr>
      <vt:lpstr>Record1List</vt:lpstr>
      <vt:lpstr>Record2List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2026-01-30T00:19:34Z</dcterms:created>
  <dcterms:modified xsi:type="dcterms:W3CDTF">2026-01-30T13:21:53Z</dcterms:modified>
  <cp:category/>
  <cp:contentStatus/>
</cp:coreProperties>
</file>